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Balkrishna\Downloads\"/>
    </mc:Choice>
  </mc:AlternateContent>
  <xr:revisionPtr revIDLastSave="0" documentId="13_ncr:1_{FA43863A-CA1A-4387-9A02-B57A93544777}" xr6:coauthVersionLast="47" xr6:coauthVersionMax="47" xr10:uidLastSave="{00000000-0000-0000-0000-000000000000}"/>
  <bookViews>
    <workbookView xWindow="0" yWindow="360" windowWidth="23256" windowHeight="12456" firstSheet="12" activeTab="16" xr2:uid="{00000000-000D-0000-FFFF-FFFF00000000}"/>
  </bookViews>
  <sheets>
    <sheet name="Nursery_Inventory" sheetId="2" r:id="rId1"/>
    <sheet name="Plant_Master" sheetId="1" r:id="rId2"/>
    <sheet name="NURSERY'S REVENUE" sheetId="6" r:id="rId3"/>
    <sheet name="PLANTS REVENUE" sheetId="7" r:id="rId4"/>
    <sheet name="QUANTITY OF PLANTS" sheetId="8" r:id="rId5"/>
    <sheet name="Sheet2" sheetId="20" r:id="rId6"/>
    <sheet name="LOCATION WISE PLANTS" sheetId="13" r:id="rId7"/>
    <sheet name="UNITS SOLD BY NURSERY" sheetId="14" r:id="rId8"/>
    <sheet name="NURSERY WISE PLANTS" sheetId="15" r:id="rId9"/>
    <sheet name="CATAGORY WISE PLANTS" sheetId="16" r:id="rId10"/>
    <sheet name="CATAGORY WISE REVENUE" sheetId="17" r:id="rId11"/>
    <sheet name="KPI" sheetId="21" r:id="rId12"/>
    <sheet name="REVENUE BY NURSERY &amp; PLANTS" sheetId="23" r:id="rId13"/>
    <sheet name="INSIGHTS" sheetId="5" r:id="rId14"/>
    <sheet name="CATAGORY WISE SALE" sheetId="25" r:id="rId15"/>
    <sheet name="Plant_Sales" sheetId="3" r:id="rId16"/>
    <sheet name="DASHBOARD" sheetId="19" r:id="rId17"/>
  </sheets>
  <definedNames>
    <definedName name="_xlnm._FilterDatabase" localSheetId="0" hidden="1">Nursery_Inventory!$A$1:$E$501</definedName>
    <definedName name="_xlnm._FilterDatabase" localSheetId="1" hidden="1">Plant_Master!$A$1:$E$501</definedName>
    <definedName name="_xlnm._FilterDatabase" localSheetId="15" hidden="1">Plant_Sales!$A$1:$J$501</definedName>
    <definedName name="_xlchart.v2.0" hidden="1">'QUANTITY OF PLANTS'!$D$4:$D$13</definedName>
    <definedName name="_xlchart.v2.1" hidden="1">'QUANTITY OF PLANTS'!$E$4:$E$13</definedName>
    <definedName name="_xlchart.v2.2" hidden="1">'REVENUE BY NURSERY &amp; PLANTS'!$K$5:$K$14</definedName>
    <definedName name="_xlchart.v2.3" hidden="1">'REVENUE BY NURSERY &amp; PLANTS'!$L$5:$L$14</definedName>
    <definedName name="_xlchart.v2.4" hidden="1">'REVENUE BY NURSERY &amp; PLANTS'!$K$5:$K$14</definedName>
    <definedName name="_xlchart.v2.5" hidden="1">'REVENUE BY NURSERY &amp; PLANTS'!$L$5:$L$14</definedName>
    <definedName name="Slicer_category">#N/A</definedName>
    <definedName name="Slicer_location">#N/A</definedName>
    <definedName name="Slicer_Nursery_Name">#N/A</definedName>
    <definedName name="Slicer_plant_name">#N/A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3" l="1"/>
  <c r="J188" i="3"/>
  <c r="J6" i="3"/>
  <c r="J273" i="3"/>
  <c r="J230" i="3"/>
  <c r="J383" i="3"/>
  <c r="J16" i="3"/>
  <c r="J114" i="3"/>
  <c r="J472" i="3"/>
  <c r="J11" i="3"/>
  <c r="J194" i="3"/>
  <c r="J250" i="3"/>
  <c r="J247" i="3"/>
  <c r="J14" i="3"/>
  <c r="J481" i="3"/>
  <c r="J29" i="3"/>
  <c r="J27" i="3"/>
  <c r="J30" i="3"/>
  <c r="J153" i="3"/>
  <c r="J28" i="3"/>
  <c r="J156" i="3"/>
  <c r="J65" i="3"/>
  <c r="J33" i="3"/>
  <c r="J291" i="3"/>
  <c r="J331" i="3"/>
  <c r="J36" i="3"/>
  <c r="J37" i="3"/>
  <c r="J369" i="3"/>
  <c r="J45" i="3"/>
  <c r="J164" i="3"/>
  <c r="J203" i="3"/>
  <c r="J51" i="3"/>
  <c r="J162" i="3"/>
  <c r="J207" i="3"/>
  <c r="J52" i="3"/>
  <c r="J319" i="3"/>
  <c r="J323" i="3"/>
  <c r="J281" i="3"/>
  <c r="J59" i="3"/>
  <c r="J295" i="3"/>
  <c r="J228" i="3"/>
  <c r="J62" i="3"/>
  <c r="J64" i="3"/>
  <c r="J407" i="3"/>
  <c r="J67" i="3"/>
  <c r="J69" i="3"/>
  <c r="J73" i="3"/>
  <c r="J384" i="3"/>
  <c r="J10" i="3"/>
  <c r="J76" i="3"/>
  <c r="J259" i="3"/>
  <c r="J386" i="3"/>
  <c r="J357" i="3"/>
  <c r="J251" i="3"/>
  <c r="J88" i="3"/>
  <c r="J91" i="3"/>
  <c r="J92" i="3"/>
  <c r="J263" i="3"/>
  <c r="J95" i="3"/>
  <c r="J171" i="3"/>
  <c r="J97" i="3"/>
  <c r="J432" i="3"/>
  <c r="J248" i="3"/>
  <c r="J12" i="3"/>
  <c r="J128" i="3"/>
  <c r="J103" i="3"/>
  <c r="J104" i="3"/>
  <c r="J340" i="3"/>
  <c r="J350" i="3"/>
  <c r="J243" i="3"/>
  <c r="J378" i="3"/>
  <c r="J72" i="3"/>
  <c r="J249" i="3"/>
  <c r="J191" i="3"/>
  <c r="J122" i="3"/>
  <c r="J116" i="3"/>
  <c r="J20" i="3"/>
  <c r="J151" i="3"/>
  <c r="J141" i="3"/>
  <c r="J152" i="3"/>
  <c r="J124" i="3"/>
  <c r="J299" i="3"/>
  <c r="J427" i="3"/>
  <c r="J136" i="3"/>
  <c r="J395" i="3"/>
  <c r="J255" i="3"/>
  <c r="J140" i="3"/>
  <c r="J143" i="3"/>
  <c r="J147" i="3"/>
  <c r="J304" i="3"/>
  <c r="J137" i="3"/>
  <c r="J148" i="3"/>
  <c r="J326" i="3"/>
  <c r="J179" i="3"/>
  <c r="J452" i="3"/>
  <c r="J302" i="3"/>
  <c r="J155" i="3"/>
  <c r="J157" i="3"/>
  <c r="J210" i="3"/>
  <c r="J244" i="3"/>
  <c r="J163" i="3"/>
  <c r="J412" i="3"/>
  <c r="J49" i="3"/>
  <c r="J389" i="3"/>
  <c r="J214" i="3"/>
  <c r="J172" i="3"/>
  <c r="J170" i="3"/>
  <c r="J420" i="3"/>
  <c r="J23" i="3"/>
  <c r="J260" i="3"/>
  <c r="J174" i="3"/>
  <c r="J264" i="3"/>
  <c r="J180" i="3"/>
  <c r="J181" i="3"/>
  <c r="J173" i="3"/>
  <c r="J430" i="3"/>
  <c r="J186" i="3"/>
  <c r="J261" i="3"/>
  <c r="J482" i="3"/>
  <c r="J236" i="3"/>
  <c r="J192" i="3"/>
  <c r="J401" i="3"/>
  <c r="J198" i="3"/>
  <c r="J184" i="3"/>
  <c r="J182" i="3"/>
  <c r="J269" i="3"/>
  <c r="J195" i="3"/>
  <c r="J229" i="3"/>
  <c r="J202" i="3"/>
  <c r="J204" i="3"/>
  <c r="J442" i="3"/>
  <c r="J205" i="3"/>
  <c r="J158" i="3"/>
  <c r="J209" i="3"/>
  <c r="J212" i="3"/>
  <c r="J213" i="3"/>
  <c r="J31" i="3"/>
  <c r="J219" i="3"/>
  <c r="J145" i="3"/>
  <c r="J221" i="3"/>
  <c r="J25" i="3"/>
  <c r="J224" i="3"/>
  <c r="J342" i="3"/>
  <c r="J227" i="3"/>
  <c r="J187" i="3"/>
  <c r="J458" i="3"/>
  <c r="J400" i="3"/>
  <c r="J231" i="3"/>
  <c r="J495" i="3"/>
  <c r="J492" i="3"/>
  <c r="J211" i="3"/>
  <c r="J239" i="3"/>
  <c r="J240" i="3"/>
  <c r="J241" i="3"/>
  <c r="J496" i="3"/>
  <c r="J90" i="3"/>
  <c r="J245" i="3"/>
  <c r="J443" i="3"/>
  <c r="J352" i="3"/>
  <c r="J391" i="3"/>
  <c r="J464" i="3"/>
  <c r="J311" i="3"/>
  <c r="J303" i="3"/>
  <c r="J337" i="3"/>
  <c r="J454" i="3"/>
  <c r="J257" i="3"/>
  <c r="J197" i="3"/>
  <c r="J474" i="3"/>
  <c r="J246" i="3"/>
  <c r="J397" i="3"/>
  <c r="J417" i="3"/>
  <c r="J125" i="3"/>
  <c r="J445" i="3"/>
  <c r="J277" i="3"/>
  <c r="J166" i="3"/>
  <c r="J456" i="3"/>
  <c r="J280" i="3"/>
  <c r="J282" i="3"/>
  <c r="J199" i="3"/>
  <c r="J284" i="3"/>
  <c r="J411" i="3"/>
  <c r="J379" i="3"/>
  <c r="J310" i="3"/>
  <c r="J290" i="3"/>
  <c r="J133" i="3"/>
  <c r="J345" i="3"/>
  <c r="J223" i="3"/>
  <c r="J234" i="3"/>
  <c r="J408" i="3"/>
  <c r="J387" i="3"/>
  <c r="J301" i="3"/>
  <c r="J75" i="3"/>
  <c r="J169" i="3"/>
  <c r="J262" i="3"/>
  <c r="J307" i="3"/>
  <c r="J339" i="3"/>
  <c r="J317" i="3"/>
  <c r="J313" i="3"/>
  <c r="J349" i="3"/>
  <c r="J40" i="3"/>
  <c r="J329" i="3"/>
  <c r="J320" i="3"/>
  <c r="J225" i="3"/>
  <c r="J322" i="3"/>
  <c r="J449" i="3"/>
  <c r="J428" i="3"/>
  <c r="J325" i="3"/>
  <c r="J328" i="3"/>
  <c r="J18" i="3"/>
  <c r="J267" i="3"/>
  <c r="J144" i="3"/>
  <c r="J120" i="3"/>
  <c r="J200" i="3"/>
  <c r="J32" i="3"/>
  <c r="J341" i="3"/>
  <c r="J460" i="3"/>
  <c r="J343" i="3"/>
  <c r="J330" i="3"/>
  <c r="J448" i="3"/>
  <c r="J324" i="3"/>
  <c r="J351" i="3"/>
  <c r="J363" i="3"/>
  <c r="J78" i="3"/>
  <c r="J201" i="3"/>
  <c r="J271" i="3"/>
  <c r="J98" i="3"/>
  <c r="J306" i="3"/>
  <c r="J358" i="3"/>
  <c r="J431" i="3"/>
  <c r="J365" i="3"/>
  <c r="J375" i="3"/>
  <c r="J279" i="3"/>
  <c r="J82" i="3"/>
  <c r="J371" i="3"/>
  <c r="J332" i="3"/>
  <c r="J373" i="3"/>
  <c r="J374" i="3"/>
  <c r="J461" i="3"/>
  <c r="J414" i="3"/>
  <c r="J109" i="3"/>
  <c r="J494" i="3"/>
  <c r="J278" i="3"/>
  <c r="J382" i="3"/>
  <c r="J394" i="3"/>
  <c r="J471" i="3"/>
  <c r="J385" i="3"/>
  <c r="J285" i="3"/>
  <c r="J380" i="3"/>
  <c r="J149" i="3"/>
  <c r="J178" i="3"/>
  <c r="J455" i="3"/>
  <c r="J53" i="3"/>
  <c r="J368" i="3"/>
  <c r="J405" i="3"/>
  <c r="J321" i="3"/>
  <c r="J346" i="3"/>
  <c r="J19" i="3"/>
  <c r="J294" i="3"/>
  <c r="J410" i="3"/>
  <c r="J102" i="3"/>
  <c r="J392" i="3"/>
  <c r="J413" i="3"/>
  <c r="J418" i="3"/>
  <c r="J2" i="3"/>
  <c r="J416" i="3"/>
  <c r="J433" i="3"/>
  <c r="J344" i="3"/>
  <c r="J422" i="3"/>
  <c r="J423" i="3"/>
  <c r="J424" i="3"/>
  <c r="J165" i="3"/>
  <c r="J233" i="3"/>
  <c r="J388" i="3"/>
  <c r="J347" i="3"/>
  <c r="J129" i="3"/>
  <c r="J436" i="3"/>
  <c r="J453" i="3"/>
  <c r="J439" i="3"/>
  <c r="J440" i="3"/>
  <c r="J314" i="3"/>
  <c r="J93" i="3"/>
  <c r="J308" i="3"/>
  <c r="J447" i="3"/>
  <c r="J487" i="3"/>
  <c r="J409" i="3"/>
  <c r="J450" i="3"/>
  <c r="J501" i="3"/>
  <c r="J468" i="3"/>
  <c r="J150" i="3"/>
  <c r="J13" i="3"/>
  <c r="J493" i="3"/>
  <c r="J348" i="3"/>
  <c r="J46" i="3"/>
  <c r="J438" i="3"/>
  <c r="J462" i="3"/>
  <c r="J96" i="3"/>
  <c r="J232" i="3"/>
  <c r="J465" i="3"/>
  <c r="J390" i="3"/>
  <c r="J286" i="3"/>
  <c r="J469" i="3"/>
  <c r="J256" i="3"/>
  <c r="J429" i="3"/>
  <c r="J457" i="3"/>
  <c r="J473" i="3"/>
  <c r="J478" i="3"/>
  <c r="J480" i="3"/>
  <c r="J354" i="3"/>
  <c r="J252" i="3"/>
  <c r="J483" i="3"/>
  <c r="J484" i="3"/>
  <c r="J441" i="3"/>
  <c r="J398" i="3"/>
  <c r="J499" i="3"/>
  <c r="J463" i="3"/>
  <c r="J113" i="3"/>
  <c r="J393" i="3"/>
  <c r="J292" i="3"/>
  <c r="J268" i="3"/>
  <c r="J5" i="3"/>
  <c r="I3" i="3"/>
  <c r="I4" i="3"/>
  <c r="I188" i="3"/>
  <c r="I6" i="3"/>
  <c r="I273" i="3"/>
  <c r="I8" i="3"/>
  <c r="I9" i="3"/>
  <c r="I34" i="3"/>
  <c r="I230" i="3"/>
  <c r="I383" i="3"/>
  <c r="I60" i="3"/>
  <c r="I35" i="3"/>
  <c r="I7" i="3"/>
  <c r="I16" i="3"/>
  <c r="I17" i="3"/>
  <c r="I114" i="3"/>
  <c r="I472" i="3"/>
  <c r="I11" i="3"/>
  <c r="I194" i="3"/>
  <c r="I250" i="3"/>
  <c r="I247" i="3"/>
  <c r="I14" i="3"/>
  <c r="I481" i="3"/>
  <c r="I29" i="3"/>
  <c r="I27" i="3"/>
  <c r="I30" i="3"/>
  <c r="I153" i="3"/>
  <c r="I28" i="3"/>
  <c r="I156" i="3"/>
  <c r="I65" i="3"/>
  <c r="I33" i="3"/>
  <c r="I291" i="3"/>
  <c r="I331" i="3"/>
  <c r="I36" i="3"/>
  <c r="I37" i="3"/>
  <c r="I369" i="3"/>
  <c r="I15" i="3"/>
  <c r="I45" i="3"/>
  <c r="I41" i="3"/>
  <c r="I164" i="3"/>
  <c r="I43" i="3"/>
  <c r="I203" i="3"/>
  <c r="I51" i="3"/>
  <c r="I162" i="3"/>
  <c r="I47" i="3"/>
  <c r="I48" i="3"/>
  <c r="I207" i="3"/>
  <c r="I21" i="3"/>
  <c r="I52" i="3"/>
  <c r="I160" i="3"/>
  <c r="I319" i="3"/>
  <c r="I54" i="3"/>
  <c r="I323" i="3"/>
  <c r="I56" i="3"/>
  <c r="I281" i="3"/>
  <c r="I58" i="3"/>
  <c r="I59" i="3"/>
  <c r="I295" i="3"/>
  <c r="I228" i="3"/>
  <c r="I62" i="3"/>
  <c r="I22" i="3"/>
  <c r="I64" i="3"/>
  <c r="I110" i="3"/>
  <c r="I407" i="3"/>
  <c r="I67" i="3"/>
  <c r="I68" i="3"/>
  <c r="I69" i="3"/>
  <c r="I70" i="3"/>
  <c r="I79" i="3"/>
  <c r="I73" i="3"/>
  <c r="I384" i="3"/>
  <c r="I74" i="3"/>
  <c r="I10" i="3"/>
  <c r="I76" i="3"/>
  <c r="I77" i="3"/>
  <c r="I259" i="3"/>
  <c r="I226" i="3"/>
  <c r="I386" i="3"/>
  <c r="I81" i="3"/>
  <c r="I357" i="3"/>
  <c r="I251" i="3"/>
  <c r="I84" i="3"/>
  <c r="I85" i="3"/>
  <c r="I86" i="3"/>
  <c r="I24" i="3"/>
  <c r="I88" i="3"/>
  <c r="I89" i="3"/>
  <c r="I91" i="3"/>
  <c r="I80" i="3"/>
  <c r="I92" i="3"/>
  <c r="I263" i="3"/>
  <c r="I94" i="3"/>
  <c r="I95" i="3"/>
  <c r="I171" i="3"/>
  <c r="I97" i="3"/>
  <c r="I432" i="3"/>
  <c r="I248" i="3"/>
  <c r="I12" i="3"/>
  <c r="I101" i="3"/>
  <c r="I128" i="3"/>
  <c r="I103" i="3"/>
  <c r="I104" i="3"/>
  <c r="I26" i="3"/>
  <c r="I340" i="3"/>
  <c r="I350" i="3"/>
  <c r="I243" i="3"/>
  <c r="I378" i="3"/>
  <c r="I72" i="3"/>
  <c r="I111" i="3"/>
  <c r="I220" i="3"/>
  <c r="I249" i="3"/>
  <c r="I191" i="3"/>
  <c r="I122" i="3"/>
  <c r="I116" i="3"/>
  <c r="I117" i="3"/>
  <c r="I38" i="3"/>
  <c r="I20" i="3"/>
  <c r="I151" i="3"/>
  <c r="I121" i="3"/>
  <c r="I141" i="3"/>
  <c r="I152" i="3"/>
  <c r="I124" i="3"/>
  <c r="I299" i="3"/>
  <c r="I126" i="3"/>
  <c r="I39" i="3"/>
  <c r="I427" i="3"/>
  <c r="I253" i="3"/>
  <c r="I130" i="3"/>
  <c r="I42" i="3"/>
  <c r="I44" i="3"/>
  <c r="I136" i="3"/>
  <c r="I134" i="3"/>
  <c r="I135" i="3"/>
  <c r="I395" i="3"/>
  <c r="I255" i="3"/>
  <c r="I138" i="3"/>
  <c r="I139" i="3"/>
  <c r="I140" i="3"/>
  <c r="I143" i="3"/>
  <c r="I142" i="3"/>
  <c r="I147" i="3"/>
  <c r="I304" i="3"/>
  <c r="I137" i="3"/>
  <c r="I146" i="3"/>
  <c r="I148" i="3"/>
  <c r="I326" i="3"/>
  <c r="I50" i="3"/>
  <c r="I179" i="3"/>
  <c r="I452" i="3"/>
  <c r="I283" i="3"/>
  <c r="I302" i="3"/>
  <c r="I71" i="3"/>
  <c r="I155" i="3"/>
  <c r="I55" i="3"/>
  <c r="I157" i="3"/>
  <c r="I210" i="3"/>
  <c r="I159" i="3"/>
  <c r="I112" i="3"/>
  <c r="I161" i="3"/>
  <c r="I244" i="3"/>
  <c r="I163" i="3"/>
  <c r="I412" i="3"/>
  <c r="I49" i="3"/>
  <c r="I389" i="3"/>
  <c r="I214" i="3"/>
  <c r="I168" i="3"/>
  <c r="I172" i="3"/>
  <c r="I170" i="3"/>
  <c r="I420" i="3"/>
  <c r="I23" i="3"/>
  <c r="I260" i="3"/>
  <c r="I174" i="3"/>
  <c r="I175" i="3"/>
  <c r="I176" i="3"/>
  <c r="I177" i="3"/>
  <c r="I264" i="3"/>
  <c r="I57" i="3"/>
  <c r="I180" i="3"/>
  <c r="I181" i="3"/>
  <c r="I173" i="3"/>
  <c r="I183" i="3"/>
  <c r="I430" i="3"/>
  <c r="I185" i="3"/>
  <c r="I186" i="3"/>
  <c r="I261" i="3"/>
  <c r="I482" i="3"/>
  <c r="I189" i="3"/>
  <c r="I190" i="3"/>
  <c r="I236" i="3"/>
  <c r="I192" i="3"/>
  <c r="I193" i="3"/>
  <c r="I61" i="3"/>
  <c r="I401" i="3"/>
  <c r="I196" i="3"/>
  <c r="I63" i="3"/>
  <c r="I198" i="3"/>
  <c r="I184" i="3"/>
  <c r="I182" i="3"/>
  <c r="I269" i="3"/>
  <c r="I195" i="3"/>
  <c r="I229" i="3"/>
  <c r="I202" i="3"/>
  <c r="I204" i="3"/>
  <c r="I206" i="3"/>
  <c r="I442" i="3"/>
  <c r="I208" i="3"/>
  <c r="I205" i="3"/>
  <c r="I158" i="3"/>
  <c r="I209" i="3"/>
  <c r="I212" i="3"/>
  <c r="I213" i="3"/>
  <c r="I31" i="3"/>
  <c r="I215" i="3"/>
  <c r="I216" i="3"/>
  <c r="I217" i="3"/>
  <c r="I218" i="3"/>
  <c r="I219" i="3"/>
  <c r="I145" i="3"/>
  <c r="I221" i="3"/>
  <c r="I25" i="3"/>
  <c r="I66" i="3"/>
  <c r="I224" i="3"/>
  <c r="I342" i="3"/>
  <c r="I297" i="3"/>
  <c r="I227" i="3"/>
  <c r="I187" i="3"/>
  <c r="I458" i="3"/>
  <c r="I400" i="3"/>
  <c r="I231" i="3"/>
  <c r="I495" i="3"/>
  <c r="I492" i="3"/>
  <c r="I211" i="3"/>
  <c r="I235" i="3"/>
  <c r="I377" i="3"/>
  <c r="I237" i="3"/>
  <c r="I238" i="3"/>
  <c r="I239" i="3"/>
  <c r="I240" i="3"/>
  <c r="I241" i="3"/>
  <c r="I242" i="3"/>
  <c r="I496" i="3"/>
  <c r="I90" i="3"/>
  <c r="I245" i="3"/>
  <c r="I443" i="3"/>
  <c r="I352" i="3"/>
  <c r="I391" i="3"/>
  <c r="I123" i="3"/>
  <c r="I83" i="3"/>
  <c r="I464" i="3"/>
  <c r="I87" i="3"/>
  <c r="I311" i="3"/>
  <c r="I303" i="3"/>
  <c r="I337" i="3"/>
  <c r="I454" i="3"/>
  <c r="I257" i="3"/>
  <c r="I258" i="3"/>
  <c r="I100" i="3"/>
  <c r="I197" i="3"/>
  <c r="I474" i="3"/>
  <c r="I246" i="3"/>
  <c r="I415" i="3"/>
  <c r="I397" i="3"/>
  <c r="I265" i="3"/>
  <c r="I266" i="3"/>
  <c r="I105" i="3"/>
  <c r="I366" i="3"/>
  <c r="I417" i="3"/>
  <c r="I270" i="3"/>
  <c r="I125" i="3"/>
  <c r="I272" i="3"/>
  <c r="I445" i="3"/>
  <c r="I274" i="3"/>
  <c r="I275" i="3"/>
  <c r="I276" i="3"/>
  <c r="I277" i="3"/>
  <c r="I166" i="3"/>
  <c r="I456" i="3"/>
  <c r="I280" i="3"/>
  <c r="I106" i="3"/>
  <c r="I282" i="3"/>
  <c r="I199" i="3"/>
  <c r="I284" i="3"/>
  <c r="I411" i="3"/>
  <c r="I379" i="3"/>
  <c r="I310" i="3"/>
  <c r="I222" i="3"/>
  <c r="I289" i="3"/>
  <c r="I290" i="3"/>
  <c r="I133" i="3"/>
  <c r="I345" i="3"/>
  <c r="I293" i="3"/>
  <c r="I223" i="3"/>
  <c r="I234" i="3"/>
  <c r="I296" i="3"/>
  <c r="I408" i="3"/>
  <c r="I298" i="3"/>
  <c r="I387" i="3"/>
  <c r="I300" i="3"/>
  <c r="I301" i="3"/>
  <c r="I107" i="3"/>
  <c r="I75" i="3"/>
  <c r="I169" i="3"/>
  <c r="I305" i="3"/>
  <c r="I262" i="3"/>
  <c r="I307" i="3"/>
  <c r="I339" i="3"/>
  <c r="I309" i="3"/>
  <c r="I288" i="3"/>
  <c r="I317" i="3"/>
  <c r="I312" i="3"/>
  <c r="I313" i="3"/>
  <c r="I349" i="3"/>
  <c r="I315" i="3"/>
  <c r="I316" i="3"/>
  <c r="I40" i="3"/>
  <c r="I318" i="3"/>
  <c r="I329" i="3"/>
  <c r="I320" i="3"/>
  <c r="I225" i="3"/>
  <c r="I322" i="3"/>
  <c r="I449" i="3"/>
  <c r="I428" i="3"/>
  <c r="I325" i="3"/>
  <c r="I108" i="3"/>
  <c r="I327" i="3"/>
  <c r="I328" i="3"/>
  <c r="I18" i="3"/>
  <c r="I267" i="3"/>
  <c r="I144" i="3"/>
  <c r="I372" i="3"/>
  <c r="I333" i="3"/>
  <c r="I334" i="3"/>
  <c r="I335" i="3"/>
  <c r="I336" i="3"/>
  <c r="I120" i="3"/>
  <c r="I338" i="3"/>
  <c r="I200" i="3"/>
  <c r="I32" i="3"/>
  <c r="I341" i="3"/>
  <c r="I460" i="3"/>
  <c r="I343" i="3"/>
  <c r="I330" i="3"/>
  <c r="I448" i="3"/>
  <c r="I324" i="3"/>
  <c r="I351" i="3"/>
  <c r="I363" i="3"/>
  <c r="I78" i="3"/>
  <c r="I115" i="3"/>
  <c r="I201" i="3"/>
  <c r="I271" i="3"/>
  <c r="I353" i="3"/>
  <c r="I98" i="3"/>
  <c r="I355" i="3"/>
  <c r="I356" i="3"/>
  <c r="I306" i="3"/>
  <c r="I358" i="3"/>
  <c r="I359" i="3"/>
  <c r="I360" i="3"/>
  <c r="I361" i="3"/>
  <c r="I362" i="3"/>
  <c r="I431" i="3"/>
  <c r="I364" i="3"/>
  <c r="I365" i="3"/>
  <c r="I375" i="3"/>
  <c r="I367" i="3"/>
  <c r="I279" i="3"/>
  <c r="I82" i="3"/>
  <c r="I370" i="3"/>
  <c r="I371" i="3"/>
  <c r="I332" i="3"/>
  <c r="I373" i="3"/>
  <c r="I374" i="3"/>
  <c r="I461" i="3"/>
  <c r="I99" i="3"/>
  <c r="I414" i="3"/>
  <c r="I109" i="3"/>
  <c r="I494" i="3"/>
  <c r="I278" i="3"/>
  <c r="I381" i="3"/>
  <c r="I382" i="3"/>
  <c r="I394" i="3"/>
  <c r="I471" i="3"/>
  <c r="I385" i="3"/>
  <c r="I285" i="3"/>
  <c r="I380" i="3"/>
  <c r="I149" i="3"/>
  <c r="I118" i="3"/>
  <c r="I154" i="3"/>
  <c r="I167" i="3"/>
  <c r="I178" i="3"/>
  <c r="I455" i="3"/>
  <c r="I53" i="3"/>
  <c r="I368" i="3"/>
  <c r="I396" i="3"/>
  <c r="I405" i="3"/>
  <c r="I321" i="3"/>
  <c r="I399" i="3"/>
  <c r="I376" i="3"/>
  <c r="I346" i="3"/>
  <c r="I402" i="3"/>
  <c r="I403" i="3"/>
  <c r="I404" i="3"/>
  <c r="I119" i="3"/>
  <c r="I406" i="3"/>
  <c r="I19" i="3"/>
  <c r="I294" i="3"/>
  <c r="I127" i="3"/>
  <c r="I410" i="3"/>
  <c r="I102" i="3"/>
  <c r="I392" i="3"/>
  <c r="I413" i="3"/>
  <c r="I418" i="3"/>
  <c r="I2" i="3"/>
  <c r="I416" i="3"/>
  <c r="I433" i="3"/>
  <c r="I421" i="3"/>
  <c r="I419" i="3"/>
  <c r="I344" i="3"/>
  <c r="I287" i="3"/>
  <c r="I422" i="3"/>
  <c r="I423" i="3"/>
  <c r="I424" i="3"/>
  <c r="I425" i="3"/>
  <c r="I426" i="3"/>
  <c r="I165" i="3"/>
  <c r="I131" i="3"/>
  <c r="I233" i="3"/>
  <c r="I388" i="3"/>
  <c r="I347" i="3"/>
  <c r="I129" i="3"/>
  <c r="I466" i="3"/>
  <c r="I434" i="3"/>
  <c r="I254" i="3"/>
  <c r="I436" i="3"/>
  <c r="I437" i="3"/>
  <c r="I453" i="3"/>
  <c r="I439" i="3"/>
  <c r="I440" i="3"/>
  <c r="I314" i="3"/>
  <c r="I435" i="3"/>
  <c r="I93" i="3"/>
  <c r="I444" i="3"/>
  <c r="I308" i="3"/>
  <c r="I446" i="3"/>
  <c r="I447" i="3"/>
  <c r="I487" i="3"/>
  <c r="I409" i="3"/>
  <c r="I450" i="3"/>
  <c r="I451" i="3"/>
  <c r="I501" i="3"/>
  <c r="I468" i="3"/>
  <c r="I489" i="3"/>
  <c r="I150" i="3"/>
  <c r="I13" i="3"/>
  <c r="I493" i="3"/>
  <c r="I348" i="3"/>
  <c r="I459" i="3"/>
  <c r="I46" i="3"/>
  <c r="I438" i="3"/>
  <c r="I462" i="3"/>
  <c r="I96" i="3"/>
  <c r="I232" i="3"/>
  <c r="I465" i="3"/>
  <c r="I390" i="3"/>
  <c r="I467" i="3"/>
  <c r="I286" i="3"/>
  <c r="I469" i="3"/>
  <c r="I470" i="3"/>
  <c r="I256" i="3"/>
  <c r="I429" i="3"/>
  <c r="I457" i="3"/>
  <c r="I132" i="3"/>
  <c r="I475" i="3"/>
  <c r="I473" i="3"/>
  <c r="I477" i="3"/>
  <c r="I478" i="3"/>
  <c r="I479" i="3"/>
  <c r="I480" i="3"/>
  <c r="I354" i="3"/>
  <c r="I252" i="3"/>
  <c r="I483" i="3"/>
  <c r="I484" i="3"/>
  <c r="I485" i="3"/>
  <c r="I441" i="3"/>
  <c r="I398" i="3"/>
  <c r="I488" i="3"/>
  <c r="I476" i="3"/>
  <c r="I490" i="3"/>
  <c r="I491" i="3"/>
  <c r="I499" i="3"/>
  <c r="I486" i="3"/>
  <c r="I463" i="3"/>
  <c r="I497" i="3"/>
  <c r="I113" i="3"/>
  <c r="I393" i="3"/>
  <c r="I498" i="3"/>
  <c r="I292" i="3"/>
  <c r="I500" i="3"/>
  <c r="I268" i="3"/>
  <c r="I5" i="3"/>
  <c r="H3" i="3"/>
  <c r="H4" i="3"/>
  <c r="H188" i="3"/>
  <c r="H6" i="3"/>
  <c r="H273" i="3"/>
  <c r="H8" i="3"/>
  <c r="H9" i="3"/>
  <c r="H34" i="3"/>
  <c r="H230" i="3"/>
  <c r="H383" i="3"/>
  <c r="H60" i="3"/>
  <c r="H35" i="3"/>
  <c r="H7" i="3"/>
  <c r="H16" i="3"/>
  <c r="H17" i="3"/>
  <c r="H114" i="3"/>
  <c r="H472" i="3"/>
  <c r="H11" i="3"/>
  <c r="H194" i="3"/>
  <c r="H250" i="3"/>
  <c r="H247" i="3"/>
  <c r="H14" i="3"/>
  <c r="H481" i="3"/>
  <c r="H29" i="3"/>
  <c r="H27" i="3"/>
  <c r="H30" i="3"/>
  <c r="H153" i="3"/>
  <c r="H28" i="3"/>
  <c r="H156" i="3"/>
  <c r="H65" i="3"/>
  <c r="H33" i="3"/>
  <c r="H291" i="3"/>
  <c r="H331" i="3"/>
  <c r="H36" i="3"/>
  <c r="H37" i="3"/>
  <c r="H369" i="3"/>
  <c r="H15" i="3"/>
  <c r="H45" i="3"/>
  <c r="H41" i="3"/>
  <c r="H164" i="3"/>
  <c r="H43" i="3"/>
  <c r="H203" i="3"/>
  <c r="H51" i="3"/>
  <c r="H162" i="3"/>
  <c r="H47" i="3"/>
  <c r="H48" i="3"/>
  <c r="H207" i="3"/>
  <c r="H21" i="3"/>
  <c r="H52" i="3"/>
  <c r="H160" i="3"/>
  <c r="H319" i="3"/>
  <c r="H54" i="3"/>
  <c r="H323" i="3"/>
  <c r="H56" i="3"/>
  <c r="H281" i="3"/>
  <c r="H58" i="3"/>
  <c r="H59" i="3"/>
  <c r="H295" i="3"/>
  <c r="H228" i="3"/>
  <c r="H62" i="3"/>
  <c r="H22" i="3"/>
  <c r="H64" i="3"/>
  <c r="H110" i="3"/>
  <c r="H407" i="3"/>
  <c r="H67" i="3"/>
  <c r="H68" i="3"/>
  <c r="H69" i="3"/>
  <c r="H70" i="3"/>
  <c r="H79" i="3"/>
  <c r="H73" i="3"/>
  <c r="H384" i="3"/>
  <c r="H74" i="3"/>
  <c r="H10" i="3"/>
  <c r="H76" i="3"/>
  <c r="H77" i="3"/>
  <c r="H259" i="3"/>
  <c r="H226" i="3"/>
  <c r="H386" i="3"/>
  <c r="H81" i="3"/>
  <c r="H357" i="3"/>
  <c r="H251" i="3"/>
  <c r="H84" i="3"/>
  <c r="H85" i="3"/>
  <c r="H86" i="3"/>
  <c r="H24" i="3"/>
  <c r="H88" i="3"/>
  <c r="H89" i="3"/>
  <c r="H91" i="3"/>
  <c r="H80" i="3"/>
  <c r="H92" i="3"/>
  <c r="H263" i="3"/>
  <c r="H94" i="3"/>
  <c r="H95" i="3"/>
  <c r="H171" i="3"/>
  <c r="H97" i="3"/>
  <c r="H432" i="3"/>
  <c r="H248" i="3"/>
  <c r="H12" i="3"/>
  <c r="H101" i="3"/>
  <c r="H128" i="3"/>
  <c r="H103" i="3"/>
  <c r="H104" i="3"/>
  <c r="H26" i="3"/>
  <c r="H340" i="3"/>
  <c r="H350" i="3"/>
  <c r="H243" i="3"/>
  <c r="H378" i="3"/>
  <c r="H72" i="3"/>
  <c r="H111" i="3"/>
  <c r="H220" i="3"/>
  <c r="H249" i="3"/>
  <c r="H191" i="3"/>
  <c r="H122" i="3"/>
  <c r="H116" i="3"/>
  <c r="H117" i="3"/>
  <c r="H38" i="3"/>
  <c r="H20" i="3"/>
  <c r="H151" i="3"/>
  <c r="H121" i="3"/>
  <c r="H141" i="3"/>
  <c r="H152" i="3"/>
  <c r="H124" i="3"/>
  <c r="H299" i="3"/>
  <c r="H126" i="3"/>
  <c r="H39" i="3"/>
  <c r="H427" i="3"/>
  <c r="H253" i="3"/>
  <c r="H130" i="3"/>
  <c r="H42" i="3"/>
  <c r="H44" i="3"/>
  <c r="H136" i="3"/>
  <c r="H134" i="3"/>
  <c r="H135" i="3"/>
  <c r="H395" i="3"/>
  <c r="H255" i="3"/>
  <c r="H138" i="3"/>
  <c r="H139" i="3"/>
  <c r="H140" i="3"/>
  <c r="H143" i="3"/>
  <c r="H142" i="3"/>
  <c r="H147" i="3"/>
  <c r="H304" i="3"/>
  <c r="H137" i="3"/>
  <c r="H146" i="3"/>
  <c r="H148" i="3"/>
  <c r="H326" i="3"/>
  <c r="H50" i="3"/>
  <c r="H179" i="3"/>
  <c r="H452" i="3"/>
  <c r="H283" i="3"/>
  <c r="H302" i="3"/>
  <c r="H71" i="3"/>
  <c r="H155" i="3"/>
  <c r="H55" i="3"/>
  <c r="H157" i="3"/>
  <c r="H210" i="3"/>
  <c r="H159" i="3"/>
  <c r="H112" i="3"/>
  <c r="H161" i="3"/>
  <c r="H244" i="3"/>
  <c r="H163" i="3"/>
  <c r="H412" i="3"/>
  <c r="H49" i="3"/>
  <c r="H389" i="3"/>
  <c r="H214" i="3"/>
  <c r="H168" i="3"/>
  <c r="H172" i="3"/>
  <c r="H170" i="3"/>
  <c r="H420" i="3"/>
  <c r="H23" i="3"/>
  <c r="H260" i="3"/>
  <c r="H174" i="3"/>
  <c r="H175" i="3"/>
  <c r="H176" i="3"/>
  <c r="H177" i="3"/>
  <c r="H264" i="3"/>
  <c r="H57" i="3"/>
  <c r="H180" i="3"/>
  <c r="H181" i="3"/>
  <c r="H173" i="3"/>
  <c r="H183" i="3"/>
  <c r="H430" i="3"/>
  <c r="H185" i="3"/>
  <c r="H186" i="3"/>
  <c r="H261" i="3"/>
  <c r="H482" i="3"/>
  <c r="H189" i="3"/>
  <c r="H190" i="3"/>
  <c r="H236" i="3"/>
  <c r="H192" i="3"/>
  <c r="H193" i="3"/>
  <c r="H61" i="3"/>
  <c r="H401" i="3"/>
  <c r="H196" i="3"/>
  <c r="H63" i="3"/>
  <c r="H198" i="3"/>
  <c r="H184" i="3"/>
  <c r="H182" i="3"/>
  <c r="H269" i="3"/>
  <c r="H195" i="3"/>
  <c r="H229" i="3"/>
  <c r="H202" i="3"/>
  <c r="H204" i="3"/>
  <c r="H206" i="3"/>
  <c r="H442" i="3"/>
  <c r="H208" i="3"/>
  <c r="H205" i="3"/>
  <c r="H158" i="3"/>
  <c r="H209" i="3"/>
  <c r="H212" i="3"/>
  <c r="H213" i="3"/>
  <c r="H31" i="3"/>
  <c r="H215" i="3"/>
  <c r="H216" i="3"/>
  <c r="H217" i="3"/>
  <c r="H218" i="3"/>
  <c r="H219" i="3"/>
  <c r="H145" i="3"/>
  <c r="H221" i="3"/>
  <c r="H25" i="3"/>
  <c r="H66" i="3"/>
  <c r="H224" i="3"/>
  <c r="H342" i="3"/>
  <c r="H297" i="3"/>
  <c r="H227" i="3"/>
  <c r="H187" i="3"/>
  <c r="H458" i="3"/>
  <c r="H400" i="3"/>
  <c r="H231" i="3"/>
  <c r="H495" i="3"/>
  <c r="H492" i="3"/>
  <c r="H211" i="3"/>
  <c r="H235" i="3"/>
  <c r="H377" i="3"/>
  <c r="H237" i="3"/>
  <c r="H238" i="3"/>
  <c r="H239" i="3"/>
  <c r="H240" i="3"/>
  <c r="H241" i="3"/>
  <c r="H242" i="3"/>
  <c r="H496" i="3"/>
  <c r="H90" i="3"/>
  <c r="H245" i="3"/>
  <c r="H443" i="3"/>
  <c r="H352" i="3"/>
  <c r="H391" i="3"/>
  <c r="H123" i="3"/>
  <c r="H83" i="3"/>
  <c r="H464" i="3"/>
  <c r="H87" i="3"/>
  <c r="H311" i="3"/>
  <c r="H303" i="3"/>
  <c r="H337" i="3"/>
  <c r="H454" i="3"/>
  <c r="H257" i="3"/>
  <c r="H258" i="3"/>
  <c r="H100" i="3"/>
  <c r="H197" i="3"/>
  <c r="H474" i="3"/>
  <c r="H246" i="3"/>
  <c r="H415" i="3"/>
  <c r="H397" i="3"/>
  <c r="H265" i="3"/>
  <c r="H266" i="3"/>
  <c r="H105" i="3"/>
  <c r="H366" i="3"/>
  <c r="H417" i="3"/>
  <c r="H270" i="3"/>
  <c r="H125" i="3"/>
  <c r="H272" i="3"/>
  <c r="H445" i="3"/>
  <c r="H274" i="3"/>
  <c r="H275" i="3"/>
  <c r="H276" i="3"/>
  <c r="H277" i="3"/>
  <c r="H166" i="3"/>
  <c r="H456" i="3"/>
  <c r="H280" i="3"/>
  <c r="H106" i="3"/>
  <c r="H282" i="3"/>
  <c r="H199" i="3"/>
  <c r="H284" i="3"/>
  <c r="H411" i="3"/>
  <c r="H379" i="3"/>
  <c r="H310" i="3"/>
  <c r="H222" i="3"/>
  <c r="H289" i="3"/>
  <c r="H290" i="3"/>
  <c r="H133" i="3"/>
  <c r="H345" i="3"/>
  <c r="H293" i="3"/>
  <c r="H223" i="3"/>
  <c r="H234" i="3"/>
  <c r="H296" i="3"/>
  <c r="H408" i="3"/>
  <c r="H298" i="3"/>
  <c r="H387" i="3"/>
  <c r="H300" i="3"/>
  <c r="H301" i="3"/>
  <c r="H107" i="3"/>
  <c r="H75" i="3"/>
  <c r="H169" i="3"/>
  <c r="H305" i="3"/>
  <c r="H262" i="3"/>
  <c r="H307" i="3"/>
  <c r="H339" i="3"/>
  <c r="H309" i="3"/>
  <c r="H288" i="3"/>
  <c r="H317" i="3"/>
  <c r="H312" i="3"/>
  <c r="H313" i="3"/>
  <c r="H349" i="3"/>
  <c r="H315" i="3"/>
  <c r="H316" i="3"/>
  <c r="H40" i="3"/>
  <c r="H318" i="3"/>
  <c r="H329" i="3"/>
  <c r="H320" i="3"/>
  <c r="H225" i="3"/>
  <c r="H322" i="3"/>
  <c r="H449" i="3"/>
  <c r="H428" i="3"/>
  <c r="H325" i="3"/>
  <c r="H108" i="3"/>
  <c r="H327" i="3"/>
  <c r="H328" i="3"/>
  <c r="H18" i="3"/>
  <c r="H267" i="3"/>
  <c r="H144" i="3"/>
  <c r="H372" i="3"/>
  <c r="H333" i="3"/>
  <c r="H334" i="3"/>
  <c r="H335" i="3"/>
  <c r="H336" i="3"/>
  <c r="H120" i="3"/>
  <c r="H338" i="3"/>
  <c r="H200" i="3"/>
  <c r="H32" i="3"/>
  <c r="H341" i="3"/>
  <c r="H460" i="3"/>
  <c r="H343" i="3"/>
  <c r="H330" i="3"/>
  <c r="H448" i="3"/>
  <c r="H324" i="3"/>
  <c r="H351" i="3"/>
  <c r="H363" i="3"/>
  <c r="H78" i="3"/>
  <c r="H115" i="3"/>
  <c r="H201" i="3"/>
  <c r="H271" i="3"/>
  <c r="H353" i="3"/>
  <c r="H98" i="3"/>
  <c r="H355" i="3"/>
  <c r="H356" i="3"/>
  <c r="H306" i="3"/>
  <c r="H358" i="3"/>
  <c r="H359" i="3"/>
  <c r="H360" i="3"/>
  <c r="H361" i="3"/>
  <c r="H362" i="3"/>
  <c r="H431" i="3"/>
  <c r="H364" i="3"/>
  <c r="H365" i="3"/>
  <c r="H375" i="3"/>
  <c r="H367" i="3"/>
  <c r="H279" i="3"/>
  <c r="H82" i="3"/>
  <c r="H370" i="3"/>
  <c r="H371" i="3"/>
  <c r="H332" i="3"/>
  <c r="H373" i="3"/>
  <c r="H374" i="3"/>
  <c r="H461" i="3"/>
  <c r="H99" i="3"/>
  <c r="H414" i="3"/>
  <c r="H109" i="3"/>
  <c r="H494" i="3"/>
  <c r="H278" i="3"/>
  <c r="H381" i="3"/>
  <c r="H382" i="3"/>
  <c r="H394" i="3"/>
  <c r="H471" i="3"/>
  <c r="H385" i="3"/>
  <c r="H285" i="3"/>
  <c r="H380" i="3"/>
  <c r="H149" i="3"/>
  <c r="H118" i="3"/>
  <c r="H154" i="3"/>
  <c r="H167" i="3"/>
  <c r="H178" i="3"/>
  <c r="H455" i="3"/>
  <c r="H53" i="3"/>
  <c r="H368" i="3"/>
  <c r="H396" i="3"/>
  <c r="H405" i="3"/>
  <c r="H321" i="3"/>
  <c r="H399" i="3"/>
  <c r="H376" i="3"/>
  <c r="H346" i="3"/>
  <c r="H402" i="3"/>
  <c r="H403" i="3"/>
  <c r="H404" i="3"/>
  <c r="H119" i="3"/>
  <c r="H406" i="3"/>
  <c r="H19" i="3"/>
  <c r="H294" i="3"/>
  <c r="H127" i="3"/>
  <c r="H410" i="3"/>
  <c r="H102" i="3"/>
  <c r="H392" i="3"/>
  <c r="H413" i="3"/>
  <c r="H418" i="3"/>
  <c r="H2" i="3"/>
  <c r="H416" i="3"/>
  <c r="H433" i="3"/>
  <c r="H421" i="3"/>
  <c r="H419" i="3"/>
  <c r="H344" i="3"/>
  <c r="H287" i="3"/>
  <c r="H422" i="3"/>
  <c r="H423" i="3"/>
  <c r="H424" i="3"/>
  <c r="H425" i="3"/>
  <c r="H426" i="3"/>
  <c r="H165" i="3"/>
  <c r="H131" i="3"/>
  <c r="H233" i="3"/>
  <c r="H388" i="3"/>
  <c r="H347" i="3"/>
  <c r="H129" i="3"/>
  <c r="H466" i="3"/>
  <c r="H434" i="3"/>
  <c r="H254" i="3"/>
  <c r="H436" i="3"/>
  <c r="H437" i="3"/>
  <c r="H453" i="3"/>
  <c r="H439" i="3"/>
  <c r="H440" i="3"/>
  <c r="H314" i="3"/>
  <c r="H435" i="3"/>
  <c r="H93" i="3"/>
  <c r="H444" i="3"/>
  <c r="H308" i="3"/>
  <c r="H446" i="3"/>
  <c r="H447" i="3"/>
  <c r="H487" i="3"/>
  <c r="H409" i="3"/>
  <c r="H450" i="3"/>
  <c r="H451" i="3"/>
  <c r="H501" i="3"/>
  <c r="H468" i="3"/>
  <c r="H489" i="3"/>
  <c r="H150" i="3"/>
  <c r="H13" i="3"/>
  <c r="H493" i="3"/>
  <c r="H348" i="3"/>
  <c r="H459" i="3"/>
  <c r="H46" i="3"/>
  <c r="H438" i="3"/>
  <c r="H462" i="3"/>
  <c r="H96" i="3"/>
  <c r="H232" i="3"/>
  <c r="H465" i="3"/>
  <c r="H390" i="3"/>
  <c r="H467" i="3"/>
  <c r="H286" i="3"/>
  <c r="H469" i="3"/>
  <c r="H470" i="3"/>
  <c r="H256" i="3"/>
  <c r="H429" i="3"/>
  <c r="H457" i="3"/>
  <c r="H132" i="3"/>
  <c r="H475" i="3"/>
  <c r="H473" i="3"/>
  <c r="H477" i="3"/>
  <c r="H478" i="3"/>
  <c r="H479" i="3"/>
  <c r="H480" i="3"/>
  <c r="H354" i="3"/>
  <c r="H252" i="3"/>
  <c r="H483" i="3"/>
  <c r="H484" i="3"/>
  <c r="H485" i="3"/>
  <c r="H441" i="3"/>
  <c r="H398" i="3"/>
  <c r="H488" i="3"/>
  <c r="H476" i="3"/>
  <c r="H490" i="3"/>
  <c r="H491" i="3"/>
  <c r="H499" i="3"/>
  <c r="H486" i="3"/>
  <c r="H463" i="3"/>
  <c r="H497" i="3"/>
  <c r="H113" i="3"/>
  <c r="H393" i="3"/>
  <c r="H498" i="3"/>
  <c r="H292" i="3"/>
  <c r="H500" i="3"/>
  <c r="H268" i="3"/>
  <c r="H5" i="3"/>
  <c r="G4" i="3"/>
  <c r="G188" i="3"/>
  <c r="G6" i="3"/>
  <c r="G273" i="3"/>
  <c r="G230" i="3"/>
  <c r="G383" i="3"/>
  <c r="G16" i="3"/>
  <c r="G114" i="3"/>
  <c r="G472" i="3"/>
  <c r="G11" i="3"/>
  <c r="G194" i="3"/>
  <c r="G250" i="3"/>
  <c r="G247" i="3"/>
  <c r="G14" i="3"/>
  <c r="G481" i="3"/>
  <c r="G29" i="3"/>
  <c r="G27" i="3"/>
  <c r="G30" i="3"/>
  <c r="G153" i="3"/>
  <c r="G28" i="3"/>
  <c r="G156" i="3"/>
  <c r="G65" i="3"/>
  <c r="G33" i="3"/>
  <c r="G291" i="3"/>
  <c r="G331" i="3"/>
  <c r="G36" i="3"/>
  <c r="G37" i="3"/>
  <c r="G369" i="3"/>
  <c r="G45" i="3"/>
  <c r="G164" i="3"/>
  <c r="G203" i="3"/>
  <c r="G51" i="3"/>
  <c r="G162" i="3"/>
  <c r="G207" i="3"/>
  <c r="G52" i="3"/>
  <c r="G319" i="3"/>
  <c r="G323" i="3"/>
  <c r="G281" i="3"/>
  <c r="G59" i="3"/>
  <c r="G295" i="3"/>
  <c r="G228" i="3"/>
  <c r="G62" i="3"/>
  <c r="G64" i="3"/>
  <c r="G407" i="3"/>
  <c r="G67" i="3"/>
  <c r="G69" i="3"/>
  <c r="G73" i="3"/>
  <c r="G384" i="3"/>
  <c r="G10" i="3"/>
  <c r="G76" i="3"/>
  <c r="G259" i="3"/>
  <c r="G386" i="3"/>
  <c r="G357" i="3"/>
  <c r="G251" i="3"/>
  <c r="G88" i="3"/>
  <c r="G91" i="3"/>
  <c r="G92" i="3"/>
  <c r="G263" i="3"/>
  <c r="G95" i="3"/>
  <c r="G171" i="3"/>
  <c r="G97" i="3"/>
  <c r="G432" i="3"/>
  <c r="G248" i="3"/>
  <c r="G12" i="3"/>
  <c r="G128" i="3"/>
  <c r="G103" i="3"/>
  <c r="G104" i="3"/>
  <c r="G340" i="3"/>
  <c r="G350" i="3"/>
  <c r="G243" i="3"/>
  <c r="G378" i="3"/>
  <c r="G72" i="3"/>
  <c r="G249" i="3"/>
  <c r="G191" i="3"/>
  <c r="G122" i="3"/>
  <c r="G116" i="3"/>
  <c r="G20" i="3"/>
  <c r="G151" i="3"/>
  <c r="G141" i="3"/>
  <c r="G152" i="3"/>
  <c r="G124" i="3"/>
  <c r="G299" i="3"/>
  <c r="G427" i="3"/>
  <c r="G136" i="3"/>
  <c r="G395" i="3"/>
  <c r="G255" i="3"/>
  <c r="G140" i="3"/>
  <c r="G143" i="3"/>
  <c r="G147" i="3"/>
  <c r="G304" i="3"/>
  <c r="G137" i="3"/>
  <c r="G148" i="3"/>
  <c r="G326" i="3"/>
  <c r="G179" i="3"/>
  <c r="G452" i="3"/>
  <c r="G302" i="3"/>
  <c r="G155" i="3"/>
  <c r="G157" i="3"/>
  <c r="G210" i="3"/>
  <c r="G244" i="3"/>
  <c r="G163" i="3"/>
  <c r="G412" i="3"/>
  <c r="G49" i="3"/>
  <c r="G389" i="3"/>
  <c r="G214" i="3"/>
  <c r="G172" i="3"/>
  <c r="G170" i="3"/>
  <c r="G420" i="3"/>
  <c r="G23" i="3"/>
  <c r="G260" i="3"/>
  <c r="G174" i="3"/>
  <c r="G264" i="3"/>
  <c r="G180" i="3"/>
  <c r="G181" i="3"/>
  <c r="G173" i="3"/>
  <c r="G430" i="3"/>
  <c r="G186" i="3"/>
  <c r="G261" i="3"/>
  <c r="G482" i="3"/>
  <c r="G236" i="3"/>
  <c r="G192" i="3"/>
  <c r="G401" i="3"/>
  <c r="G198" i="3"/>
  <c r="G184" i="3"/>
  <c r="G182" i="3"/>
  <c r="G269" i="3"/>
  <c r="G195" i="3"/>
  <c r="G229" i="3"/>
  <c r="G202" i="3"/>
  <c r="G204" i="3"/>
  <c r="G442" i="3"/>
  <c r="G205" i="3"/>
  <c r="G158" i="3"/>
  <c r="G209" i="3"/>
  <c r="G212" i="3"/>
  <c r="G213" i="3"/>
  <c r="G31" i="3"/>
  <c r="G219" i="3"/>
  <c r="G145" i="3"/>
  <c r="G221" i="3"/>
  <c r="G25" i="3"/>
  <c r="G224" i="3"/>
  <c r="G342" i="3"/>
  <c r="G227" i="3"/>
  <c r="G187" i="3"/>
  <c r="G458" i="3"/>
  <c r="G400" i="3"/>
  <c r="G231" i="3"/>
  <c r="G495" i="3"/>
  <c r="G492" i="3"/>
  <c r="G211" i="3"/>
  <c r="G239" i="3"/>
  <c r="G240" i="3"/>
  <c r="G241" i="3"/>
  <c r="G496" i="3"/>
  <c r="G90" i="3"/>
  <c r="G245" i="3"/>
  <c r="G443" i="3"/>
  <c r="G352" i="3"/>
  <c r="G391" i="3"/>
  <c r="G464" i="3"/>
  <c r="G311" i="3"/>
  <c r="G303" i="3"/>
  <c r="G337" i="3"/>
  <c r="G454" i="3"/>
  <c r="G257" i="3"/>
  <c r="G197" i="3"/>
  <c r="G474" i="3"/>
  <c r="G246" i="3"/>
  <c r="G397" i="3"/>
  <c r="G417" i="3"/>
  <c r="G125" i="3"/>
  <c r="G445" i="3"/>
  <c r="G277" i="3"/>
  <c r="G166" i="3"/>
  <c r="G456" i="3"/>
  <c r="G280" i="3"/>
  <c r="G282" i="3"/>
  <c r="G199" i="3"/>
  <c r="G284" i="3"/>
  <c r="G411" i="3"/>
  <c r="G379" i="3"/>
  <c r="G310" i="3"/>
  <c r="G290" i="3"/>
  <c r="G133" i="3"/>
  <c r="G345" i="3"/>
  <c r="G223" i="3"/>
  <c r="G234" i="3"/>
  <c r="G408" i="3"/>
  <c r="G387" i="3"/>
  <c r="G301" i="3"/>
  <c r="G75" i="3"/>
  <c r="G169" i="3"/>
  <c r="G262" i="3"/>
  <c r="G307" i="3"/>
  <c r="G339" i="3"/>
  <c r="G317" i="3"/>
  <c r="G313" i="3"/>
  <c r="G349" i="3"/>
  <c r="G40" i="3"/>
  <c r="G329" i="3"/>
  <c r="G320" i="3"/>
  <c r="G225" i="3"/>
  <c r="G322" i="3"/>
  <c r="G449" i="3"/>
  <c r="G428" i="3"/>
  <c r="G325" i="3"/>
  <c r="G328" i="3"/>
  <c r="G18" i="3"/>
  <c r="G267" i="3"/>
  <c r="G144" i="3"/>
  <c r="G120" i="3"/>
  <c r="G200" i="3"/>
  <c r="G32" i="3"/>
  <c r="G341" i="3"/>
  <c r="G460" i="3"/>
  <c r="G343" i="3"/>
  <c r="G330" i="3"/>
  <c r="G448" i="3"/>
  <c r="G324" i="3"/>
  <c r="G351" i="3"/>
  <c r="G363" i="3"/>
  <c r="G78" i="3"/>
  <c r="G201" i="3"/>
  <c r="G271" i="3"/>
  <c r="G98" i="3"/>
  <c r="G306" i="3"/>
  <c r="G358" i="3"/>
  <c r="G431" i="3"/>
  <c r="G365" i="3"/>
  <c r="G375" i="3"/>
  <c r="G279" i="3"/>
  <c r="G82" i="3"/>
  <c r="G371" i="3"/>
  <c r="G332" i="3"/>
  <c r="G373" i="3"/>
  <c r="G374" i="3"/>
  <c r="G461" i="3"/>
  <c r="G414" i="3"/>
  <c r="G109" i="3"/>
  <c r="G494" i="3"/>
  <c r="G278" i="3"/>
  <c r="G382" i="3"/>
  <c r="G394" i="3"/>
  <c r="G471" i="3"/>
  <c r="G385" i="3"/>
  <c r="G285" i="3"/>
  <c r="G380" i="3"/>
  <c r="G149" i="3"/>
  <c r="G178" i="3"/>
  <c r="G455" i="3"/>
  <c r="G53" i="3"/>
  <c r="G368" i="3"/>
  <c r="G405" i="3"/>
  <c r="G321" i="3"/>
  <c r="G346" i="3"/>
  <c r="G19" i="3"/>
  <c r="G294" i="3"/>
  <c r="G410" i="3"/>
  <c r="G102" i="3"/>
  <c r="G392" i="3"/>
  <c r="G413" i="3"/>
  <c r="G418" i="3"/>
  <c r="G2" i="3"/>
  <c r="G416" i="3"/>
  <c r="G433" i="3"/>
  <c r="G344" i="3"/>
  <c r="G422" i="3"/>
  <c r="G423" i="3"/>
  <c r="G424" i="3"/>
  <c r="G165" i="3"/>
  <c r="G233" i="3"/>
  <c r="G388" i="3"/>
  <c r="G347" i="3"/>
  <c r="G129" i="3"/>
  <c r="G436" i="3"/>
  <c r="G453" i="3"/>
  <c r="G439" i="3"/>
  <c r="G440" i="3"/>
  <c r="G314" i="3"/>
  <c r="G93" i="3"/>
  <c r="G308" i="3"/>
  <c r="G447" i="3"/>
  <c r="G487" i="3"/>
  <c r="G409" i="3"/>
  <c r="G450" i="3"/>
  <c r="G501" i="3"/>
  <c r="G468" i="3"/>
  <c r="G150" i="3"/>
  <c r="G13" i="3"/>
  <c r="G493" i="3"/>
  <c r="G348" i="3"/>
  <c r="G46" i="3"/>
  <c r="G438" i="3"/>
  <c r="G462" i="3"/>
  <c r="G96" i="3"/>
  <c r="G232" i="3"/>
  <c r="G465" i="3"/>
  <c r="G390" i="3"/>
  <c r="G286" i="3"/>
  <c r="G469" i="3"/>
  <c r="G256" i="3"/>
  <c r="G429" i="3"/>
  <c r="G457" i="3"/>
  <c r="G473" i="3"/>
  <c r="G478" i="3"/>
  <c r="G480" i="3"/>
  <c r="G354" i="3"/>
  <c r="G252" i="3"/>
  <c r="G483" i="3"/>
  <c r="G484" i="3"/>
  <c r="G441" i="3"/>
  <c r="G398" i="3"/>
  <c r="G499" i="3"/>
  <c r="G463" i="3"/>
  <c r="G113" i="3"/>
  <c r="G393" i="3"/>
  <c r="G292" i="3"/>
  <c r="G268" i="3"/>
  <c r="G5" i="3"/>
  <c r="F295" i="3"/>
  <c r="F178" i="3"/>
  <c r="F134" i="3"/>
  <c r="F58" i="3"/>
  <c r="F133" i="3"/>
  <c r="F356" i="3"/>
  <c r="F320" i="3"/>
  <c r="F423" i="3"/>
  <c r="F498" i="3"/>
  <c r="F10" i="3"/>
  <c r="F280" i="3"/>
  <c r="F182" i="3"/>
  <c r="F119" i="3"/>
  <c r="F427" i="3"/>
  <c r="F97" i="3"/>
  <c r="F395" i="3"/>
  <c r="F90" i="3"/>
  <c r="F345" i="3"/>
  <c r="F36" i="3"/>
  <c r="F27" i="3"/>
  <c r="F269" i="3"/>
  <c r="F229" i="3"/>
  <c r="F298" i="3"/>
  <c r="F278" i="3"/>
  <c r="F52" i="3"/>
  <c r="F241" i="3"/>
  <c r="F284" i="3"/>
  <c r="F457" i="3"/>
  <c r="F9" i="3"/>
  <c r="F23" i="3"/>
  <c r="F160" i="3"/>
  <c r="F314" i="3"/>
  <c r="F402" i="3"/>
  <c r="F115" i="3"/>
  <c r="F463" i="3"/>
  <c r="F205" i="3"/>
  <c r="F382" i="3"/>
  <c r="F146" i="3"/>
  <c r="F404" i="3"/>
  <c r="F213" i="3"/>
  <c r="F330" i="3"/>
  <c r="F143" i="3"/>
  <c r="F217" i="3"/>
  <c r="F99" i="3"/>
  <c r="F231" i="3"/>
  <c r="F480" i="3"/>
  <c r="F424" i="3"/>
  <c r="F261" i="3"/>
  <c r="F69" i="3"/>
  <c r="F162" i="3"/>
  <c r="F15" i="3"/>
  <c r="F454" i="3"/>
  <c r="F145" i="3"/>
  <c r="F60" i="3"/>
  <c r="F236" i="3"/>
  <c r="F166" i="3"/>
  <c r="F35" i="3"/>
  <c r="F55" i="3"/>
  <c r="F472" i="3"/>
  <c r="F474" i="3"/>
  <c r="F44" i="3"/>
  <c r="F154" i="3"/>
  <c r="F61" i="3"/>
  <c r="F390" i="3"/>
  <c r="F308" i="3"/>
  <c r="F142" i="3"/>
  <c r="F233" i="3"/>
  <c r="F444" i="3"/>
  <c r="F294" i="3"/>
  <c r="F305" i="3"/>
  <c r="F339" i="3"/>
  <c r="F156" i="3"/>
  <c r="F497" i="3"/>
  <c r="F489" i="3"/>
  <c r="F401" i="3"/>
  <c r="F88" i="3"/>
  <c r="F246" i="3"/>
  <c r="F259" i="3"/>
  <c r="F135" i="3"/>
  <c r="F325" i="3"/>
  <c r="F210" i="3"/>
  <c r="F301" i="3"/>
  <c r="F448" i="3"/>
  <c r="F28" i="3"/>
  <c r="F174" i="3"/>
  <c r="F117" i="3"/>
  <c r="F158" i="3"/>
  <c r="F425" i="3"/>
  <c r="F138" i="3"/>
  <c r="F353" i="3"/>
  <c r="F92" i="3"/>
  <c r="F180" i="3"/>
  <c r="F2" i="3"/>
  <c r="F500" i="3"/>
  <c r="F227" i="3"/>
  <c r="F326" i="3"/>
  <c r="F410" i="3"/>
  <c r="F307" i="3"/>
  <c r="F393" i="3"/>
  <c r="F344" i="3"/>
  <c r="F327" i="3"/>
  <c r="F376" i="3"/>
  <c r="F400" i="3"/>
  <c r="F104" i="3"/>
  <c r="F186" i="3"/>
  <c r="F29" i="3"/>
  <c r="F242" i="3"/>
  <c r="F163" i="3"/>
  <c r="F41" i="3"/>
  <c r="F309" i="3"/>
  <c r="F440" i="3"/>
  <c r="F430" i="3"/>
  <c r="F137" i="3"/>
  <c r="F209" i="3"/>
  <c r="F110" i="3"/>
  <c r="F157" i="3"/>
  <c r="F464" i="3"/>
  <c r="F275" i="3"/>
  <c r="F80" i="3"/>
  <c r="F254" i="3"/>
  <c r="F499" i="3"/>
  <c r="F113" i="3"/>
  <c r="F89" i="3"/>
  <c r="F317" i="3"/>
  <c r="F68" i="3"/>
  <c r="F78" i="3"/>
  <c r="F333" i="3"/>
  <c r="F111" i="3"/>
  <c r="F144" i="3"/>
  <c r="F315" i="3"/>
  <c r="F252" i="3"/>
  <c r="F415" i="3"/>
  <c r="F460" i="3"/>
  <c r="F30" i="3"/>
  <c r="F273" i="3"/>
  <c r="F105" i="3"/>
  <c r="F361" i="3"/>
  <c r="F167" i="3"/>
  <c r="F31" i="3"/>
  <c r="F451" i="3"/>
  <c r="F443" i="3"/>
  <c r="F334" i="3"/>
  <c r="F131" i="3"/>
  <c r="F442" i="3"/>
  <c r="F224" i="3"/>
  <c r="F310" i="3"/>
  <c r="F336" i="3"/>
  <c r="F350" i="3"/>
  <c r="F370" i="3"/>
  <c r="F403" i="3"/>
  <c r="F120" i="3"/>
  <c r="F416" i="3"/>
  <c r="F8" i="3"/>
  <c r="F121" i="3"/>
  <c r="F37" i="3"/>
  <c r="F230" i="3"/>
  <c r="F39" i="3"/>
  <c r="F374" i="3"/>
  <c r="F147" i="3"/>
  <c r="F63" i="3"/>
  <c r="F219" i="3"/>
  <c r="F420" i="3"/>
  <c r="F260" i="3"/>
  <c r="F152" i="3"/>
  <c r="F368" i="3"/>
  <c r="F406" i="3"/>
  <c r="F434" i="3"/>
  <c r="F283" i="3"/>
  <c r="F87" i="3"/>
  <c r="F478" i="3"/>
  <c r="F93" i="3"/>
  <c r="F255" i="3"/>
  <c r="F257" i="3"/>
  <c r="F79" i="3"/>
  <c r="F84" i="3"/>
  <c r="F331" i="3"/>
  <c r="F151" i="3"/>
  <c r="F101" i="3"/>
  <c r="F70" i="3"/>
  <c r="F367" i="3"/>
  <c r="F408" i="3"/>
  <c r="F487" i="3"/>
  <c r="F216" i="3"/>
  <c r="F378" i="3"/>
  <c r="F437" i="3"/>
  <c r="F346" i="3"/>
  <c r="F172" i="3"/>
  <c r="F193" i="3"/>
  <c r="F248" i="3"/>
  <c r="F445" i="3"/>
  <c r="F50" i="3"/>
  <c r="F286" i="3"/>
  <c r="F208" i="3"/>
  <c r="F409" i="3"/>
  <c r="F148" i="3"/>
  <c r="F215" i="3"/>
  <c r="F197" i="3"/>
  <c r="F380" i="3"/>
  <c r="F83" i="3"/>
  <c r="F122" i="3"/>
  <c r="F25" i="3"/>
  <c r="F399" i="3"/>
  <c r="F488" i="3"/>
  <c r="F337" i="3"/>
  <c r="F277" i="3"/>
  <c r="F306" i="3"/>
  <c r="F456" i="3"/>
  <c r="F266" i="3"/>
  <c r="F388" i="3"/>
  <c r="F207" i="3"/>
  <c r="F140" i="3"/>
  <c r="F473" i="3"/>
  <c r="F201" i="3"/>
  <c r="F195" i="3"/>
  <c r="F189" i="3"/>
  <c r="F428" i="3"/>
  <c r="F66" i="3"/>
  <c r="F98" i="3"/>
  <c r="F190" i="3"/>
  <c r="F82" i="3"/>
  <c r="F176" i="3"/>
  <c r="F348" i="3"/>
  <c r="F479" i="3"/>
  <c r="F468" i="3"/>
  <c r="F364" i="3"/>
  <c r="F274" i="3"/>
  <c r="F7" i="3"/>
  <c r="F153" i="3"/>
  <c r="F491" i="3"/>
  <c r="F291" i="3"/>
  <c r="F65" i="3"/>
  <c r="F218" i="3"/>
  <c r="F150" i="3"/>
  <c r="F385" i="3"/>
  <c r="F281" i="3"/>
  <c r="F173" i="3"/>
  <c r="F125" i="3"/>
  <c r="F238" i="3"/>
  <c r="F465" i="3"/>
  <c r="F129" i="3"/>
  <c r="F366" i="3"/>
  <c r="F467" i="3"/>
  <c r="F282" i="3"/>
  <c r="F225" i="3"/>
  <c r="F112" i="3"/>
  <c r="F127" i="3"/>
  <c r="F483" i="3"/>
  <c r="F332" i="3"/>
  <c r="F303" i="3"/>
  <c r="F139" i="3"/>
  <c r="F12" i="3"/>
  <c r="F328" i="3"/>
  <c r="F234" i="3"/>
  <c r="F429" i="3"/>
  <c r="F74" i="3"/>
  <c r="F313" i="3"/>
  <c r="F435" i="3"/>
  <c r="F13" i="3"/>
  <c r="F363" i="3"/>
  <c r="F340" i="3"/>
  <c r="F441" i="3"/>
  <c r="F198" i="3"/>
  <c r="F299" i="3"/>
  <c r="F67" i="3"/>
  <c r="F181" i="3"/>
  <c r="F192" i="3"/>
  <c r="F396" i="3"/>
  <c r="F212" i="3"/>
  <c r="F372" i="3"/>
  <c r="F107" i="3"/>
  <c r="F267" i="3"/>
  <c r="F481" i="3"/>
  <c r="F452" i="3"/>
  <c r="F161" i="3"/>
  <c r="F288" i="3"/>
  <c r="F6" i="3"/>
  <c r="F21" i="3"/>
  <c r="F312" i="3"/>
  <c r="F75" i="3"/>
  <c r="F124" i="3"/>
  <c r="F126" i="3"/>
  <c r="F438" i="3"/>
  <c r="F62" i="3"/>
  <c r="F26" i="3"/>
  <c r="F118" i="3"/>
  <c r="F270" i="3"/>
  <c r="F106" i="3"/>
  <c r="F45" i="3"/>
  <c r="F357" i="3"/>
  <c r="F324" i="3"/>
  <c r="F265" i="3"/>
  <c r="F206" i="3"/>
  <c r="F486" i="3"/>
  <c r="F279" i="3"/>
  <c r="F459" i="3"/>
  <c r="F199" i="3"/>
  <c r="F132" i="3"/>
  <c r="F11" i="3"/>
  <c r="F232" i="3"/>
  <c r="F85" i="3"/>
  <c r="F204" i="3"/>
  <c r="F136" i="3"/>
  <c r="F431" i="3"/>
  <c r="F171" i="3"/>
  <c r="F289" i="3"/>
  <c r="F203" i="3"/>
  <c r="F14" i="3"/>
  <c r="F3" i="3"/>
  <c r="F462" i="3"/>
  <c r="F256" i="3"/>
  <c r="F335" i="3"/>
  <c r="F86" i="3"/>
  <c r="F214" i="3"/>
  <c r="F271" i="3"/>
  <c r="F19" i="3"/>
  <c r="F71" i="3"/>
  <c r="F417" i="3"/>
  <c r="F149" i="3"/>
  <c r="F482" i="3"/>
  <c r="F426" i="3"/>
  <c r="F494" i="3"/>
  <c r="F222" i="3"/>
  <c r="F436" i="3"/>
  <c r="F296" i="3"/>
  <c r="F247" i="3"/>
  <c r="F16" i="3"/>
  <c r="F492" i="3"/>
  <c r="F5" i="3"/>
  <c r="F375" i="3"/>
  <c r="F311" i="3"/>
  <c r="F64" i="3"/>
  <c r="F501" i="3"/>
  <c r="F450" i="3"/>
  <c r="F349" i="3"/>
  <c r="F354" i="3"/>
  <c r="F243" i="3"/>
  <c r="F285" i="3"/>
  <c r="F365" i="3"/>
  <c r="F226" i="3"/>
  <c r="F322" i="3"/>
  <c r="F373" i="3"/>
  <c r="F123" i="3"/>
  <c r="F359" i="3"/>
  <c r="F221" i="3"/>
  <c r="F155" i="3"/>
  <c r="F343" i="3"/>
  <c r="F18" i="3"/>
  <c r="F389" i="3"/>
  <c r="F352" i="3"/>
  <c r="F109" i="3"/>
  <c r="F251" i="3"/>
  <c r="F386" i="3"/>
  <c r="F272" i="3"/>
  <c r="F245" i="3"/>
  <c r="F475" i="3"/>
  <c r="F223" i="3"/>
  <c r="F200" i="3"/>
  <c r="F383" i="3"/>
  <c r="F202" i="3"/>
  <c r="F237" i="3"/>
  <c r="F20" i="3"/>
  <c r="F100" i="3"/>
  <c r="F466" i="3"/>
  <c r="F239" i="3"/>
  <c r="F184" i="3"/>
  <c r="F141" i="3"/>
  <c r="F4" i="3"/>
  <c r="F96" i="3"/>
  <c r="F418" i="3"/>
  <c r="F381" i="3"/>
  <c r="F187" i="3"/>
  <c r="F446" i="3"/>
  <c r="F164" i="3"/>
  <c r="F405" i="3"/>
  <c r="F235" i="3"/>
  <c r="F342" i="3"/>
  <c r="F358" i="3"/>
  <c r="F81" i="3"/>
  <c r="F304" i="3"/>
  <c r="F292" i="3"/>
  <c r="F179" i="3"/>
  <c r="F169" i="3"/>
  <c r="F47" i="3"/>
  <c r="F496" i="3"/>
  <c r="F316" i="3"/>
  <c r="F57" i="3"/>
  <c r="F360" i="3"/>
  <c r="F422" i="3"/>
  <c r="F77" i="3"/>
  <c r="F244" i="3"/>
  <c r="F250" i="3"/>
  <c r="F379" i="3"/>
  <c r="F240" i="3"/>
  <c r="F458" i="3"/>
  <c r="F300" i="3"/>
  <c r="F484" i="3"/>
  <c r="F485" i="3"/>
  <c r="F397" i="3"/>
  <c r="F495" i="3"/>
  <c r="F384" i="3"/>
  <c r="F264" i="3"/>
  <c r="F394" i="3"/>
  <c r="F447" i="3"/>
  <c r="F32" i="3"/>
  <c r="F297" i="3"/>
  <c r="F33" i="3"/>
  <c r="F453" i="3"/>
  <c r="F323" i="3"/>
  <c r="F220" i="3"/>
  <c r="F490" i="3"/>
  <c r="F59" i="3"/>
  <c r="F262" i="3"/>
  <c r="F95" i="3"/>
  <c r="F228" i="3"/>
  <c r="F43" i="3"/>
  <c r="F185" i="3"/>
  <c r="F76" i="3"/>
  <c r="F128" i="3"/>
  <c r="F407" i="3"/>
  <c r="F398" i="3"/>
  <c r="F471" i="3"/>
  <c r="F253" i="3"/>
  <c r="F477" i="3"/>
  <c r="F46" i="3"/>
  <c r="F38" i="3"/>
  <c r="F318" i="3"/>
  <c r="F54" i="3"/>
  <c r="F188" i="3"/>
  <c r="F168" i="3"/>
  <c r="F371" i="3"/>
  <c r="F108" i="3"/>
  <c r="F211" i="3"/>
  <c r="F249" i="3"/>
  <c r="F414" i="3"/>
  <c r="F51" i="3"/>
  <c r="F263" i="3"/>
  <c r="F34" i="3"/>
  <c r="F476" i="3"/>
  <c r="F413" i="3"/>
  <c r="F293" i="3"/>
  <c r="F276" i="3"/>
  <c r="F102" i="3"/>
  <c r="F329" i="3"/>
  <c r="F287" i="3"/>
  <c r="F258" i="3"/>
  <c r="F387" i="3"/>
  <c r="F72" i="3"/>
  <c r="F355" i="3"/>
  <c r="F56" i="3"/>
  <c r="F377" i="3"/>
  <c r="F351" i="3"/>
  <c r="F268" i="3"/>
  <c r="F421" i="3"/>
  <c r="F114" i="3"/>
  <c r="F73" i="3"/>
  <c r="F419" i="3"/>
  <c r="F103" i="3"/>
  <c r="F17" i="3"/>
  <c r="F175" i="3"/>
  <c r="F94" i="3"/>
  <c r="F49" i="3"/>
  <c r="F362" i="3"/>
  <c r="F392" i="3"/>
  <c r="F432" i="3"/>
  <c r="F470" i="3"/>
  <c r="F411" i="3"/>
  <c r="F433" i="3"/>
  <c r="F40" i="3"/>
  <c r="F53" i="3"/>
  <c r="F159" i="3"/>
  <c r="F177" i="3"/>
  <c r="F290" i="3"/>
  <c r="F455" i="3"/>
  <c r="F338" i="3"/>
  <c r="F319" i="3"/>
  <c r="F439" i="3"/>
  <c r="F347" i="3"/>
  <c r="F302" i="3"/>
  <c r="F493" i="3"/>
  <c r="F22" i="3"/>
  <c r="F191" i="3"/>
  <c r="F196" i="3"/>
  <c r="F42" i="3"/>
  <c r="F321" i="3"/>
  <c r="F170" i="3"/>
  <c r="F165" i="3"/>
  <c r="F24" i="3"/>
  <c r="F461" i="3"/>
  <c r="F469" i="3"/>
  <c r="F183" i="3"/>
  <c r="F391" i="3"/>
  <c r="F130" i="3"/>
  <c r="F194" i="3"/>
  <c r="F116" i="3"/>
  <c r="F341" i="3"/>
  <c r="F412" i="3"/>
  <c r="F369" i="3"/>
  <c r="F449" i="3"/>
  <c r="F48" i="3"/>
  <c r="F91" i="3"/>
  <c r="H16" i="21"/>
  <c r="H169" i="14"/>
  <c r="E11" i="21"/>
  <c r="K326" i="21"/>
  <c r="B326" i="21"/>
</calcChain>
</file>

<file path=xl/sharedStrings.xml><?xml version="1.0" encoding="utf-8"?>
<sst xmlns="http://schemas.openxmlformats.org/spreadsheetml/2006/main" count="4116" uniqueCount="84">
  <si>
    <t>Inventory_ID</t>
  </si>
  <si>
    <t>Sale_ID</t>
  </si>
  <si>
    <t>Plant_ID</t>
  </si>
  <si>
    <t>Stock_Quantity</t>
  </si>
  <si>
    <t>Nursery_Name</t>
  </si>
  <si>
    <t>Units_Sold</t>
  </si>
  <si>
    <t>Price_per_Unit</t>
  </si>
  <si>
    <t>UrbanLeaf</t>
  </si>
  <si>
    <t>Plant_Name</t>
  </si>
  <si>
    <t>EcoGarden</t>
  </si>
  <si>
    <t>Category</t>
  </si>
  <si>
    <t>Water_Need</t>
  </si>
  <si>
    <t>NatureNest</t>
  </si>
  <si>
    <t>Sunlight</t>
  </si>
  <si>
    <t>PlantHub</t>
  </si>
  <si>
    <t>Bamboo</t>
  </si>
  <si>
    <t>Indoor</t>
  </si>
  <si>
    <t>High</t>
  </si>
  <si>
    <t>Partial Sun</t>
  </si>
  <si>
    <t>Tulip</t>
  </si>
  <si>
    <t>Flower</t>
  </si>
  <si>
    <t>Medium</t>
  </si>
  <si>
    <t>Rose</t>
  </si>
  <si>
    <t>Low</t>
  </si>
  <si>
    <t>Shade</t>
  </si>
  <si>
    <t>GreenGrow</t>
  </si>
  <si>
    <t>Cactus</t>
  </si>
  <si>
    <t>Outdoor</t>
  </si>
  <si>
    <t>Succulent</t>
  </si>
  <si>
    <t>Full Sun</t>
  </si>
  <si>
    <t>Fern</t>
  </si>
  <si>
    <t>Jasmine</t>
  </si>
  <si>
    <t>Aloe</t>
  </si>
  <si>
    <t>Medicinal</t>
  </si>
  <si>
    <t>Palm</t>
  </si>
  <si>
    <t>Lily</t>
  </si>
  <si>
    <t>Orchid</t>
  </si>
  <si>
    <t>Nursery</t>
  </si>
  <si>
    <t>Bangalore</t>
  </si>
  <si>
    <t>Pune</t>
  </si>
  <si>
    <t>Mumbai</t>
  </si>
  <si>
    <t>Delhi</t>
  </si>
  <si>
    <t>Chennai</t>
  </si>
  <si>
    <t>location</t>
  </si>
  <si>
    <t>maximum revenue</t>
  </si>
  <si>
    <t>plant name</t>
  </si>
  <si>
    <t>category</t>
  </si>
  <si>
    <t>stock quantity</t>
  </si>
  <si>
    <t xml:space="preserve">CHENNAI </t>
  </si>
  <si>
    <t>green grow</t>
  </si>
  <si>
    <t>eco garden</t>
  </si>
  <si>
    <t>plant hub</t>
  </si>
  <si>
    <t>urban leaf</t>
  </si>
  <si>
    <t>CACTUS</t>
  </si>
  <si>
    <t>FLOWER</t>
  </si>
  <si>
    <t>BAMBOO</t>
  </si>
  <si>
    <t>6. city having largest stock quantity of plant under Medicinal category</t>
  </si>
  <si>
    <t>MUMBAI (4455 Plants)</t>
  </si>
  <si>
    <t>2.Nursery generating highest total revenue is</t>
  </si>
  <si>
    <t>3. Plant in Medicinal category generating maximum revenue is</t>
  </si>
  <si>
    <t>5.Plant from urbanleaf nursery and indoor catagory selling maximum units is</t>
  </si>
  <si>
    <t>7. Plant from outdoor category sold maximum units  with location</t>
  </si>
  <si>
    <t xml:space="preserve">8. Ecogarden nursery have maximum stock quantity of plants in succulent category in </t>
  </si>
  <si>
    <t>MUMBAI</t>
  </si>
  <si>
    <t>ORCHID (PUNE)</t>
  </si>
  <si>
    <t>4. Plant generating maximum revenue for NatureNest is from category</t>
  </si>
  <si>
    <t>1.City with maximum revenue in GreenGrow nursery is</t>
  </si>
  <si>
    <t>NATURENEST</t>
  </si>
  <si>
    <t>ALOE</t>
  </si>
  <si>
    <t>9. Plant from Chennai city generating maximum revenue is</t>
  </si>
  <si>
    <t>LILY</t>
  </si>
  <si>
    <t>10.PlantHub nursery in Bangalore have maximum stock quantity of Plant</t>
  </si>
  <si>
    <r>
      <t xml:space="preserve">                                                                    </t>
    </r>
    <r>
      <rPr>
        <b/>
        <u/>
        <sz val="14"/>
        <color rgb="FFFF0000"/>
        <rFont val="Arial"/>
        <family val="2"/>
        <scheme val="minor"/>
      </rPr>
      <t xml:space="preserve">  Insights</t>
    </r>
  </si>
  <si>
    <t>NA</t>
  </si>
  <si>
    <t>Row Labels</t>
  </si>
  <si>
    <t>Grand Total</t>
  </si>
  <si>
    <t>Sum of maximum revenue</t>
  </si>
  <si>
    <t>Count of stock quantity</t>
  </si>
  <si>
    <t>Column Labels</t>
  </si>
  <si>
    <t>ROI</t>
  </si>
  <si>
    <t>Sum of Units_Sold</t>
  </si>
  <si>
    <t>Count of Plant_ID</t>
  </si>
  <si>
    <t>Average of maximum revenue</t>
  </si>
  <si>
    <t>Sum of Sale_ID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</si>
</sst>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00"/>
    <numFmt numFmtId="165" formatCode="&quot;₹&quot;\ #,##0"/>
    <numFmt numFmtId="166" formatCode="&quot;#&quot;\ 000"/>
    <numFmt numFmtId="167" formatCode="&quot;₹&quot;\ #,##0.00"/>
  </numFmts>
  <fonts count="8" x14ac:knownFonts="1">
    <font>
      <sz val="10"/>
      <color rgb="FF000000"/>
      <name val="Arial"/>
      <scheme val="minor"/>
    </font>
    <font>
      <sz val="10"/>
      <color theme="1"/>
      <name val="Arial"/>
      <scheme val="minor"/>
    </font>
    <font>
      <sz val="10"/>
      <color rgb="FF000000"/>
      <name val="Arial"/>
      <family val="2"/>
      <scheme val="minor"/>
    </font>
    <font>
      <sz val="10"/>
      <color rgb="FFFF0000"/>
      <name val="Arial"/>
      <family val="2"/>
      <scheme val="minor"/>
    </font>
    <font>
      <b/>
      <u/>
      <sz val="14"/>
      <color rgb="FFFF0000"/>
      <name val="Arial"/>
      <family val="2"/>
      <scheme val="minor"/>
    </font>
    <font>
      <b/>
      <sz val="12"/>
      <color rgb="FF000000"/>
      <name val="Arial"/>
      <family val="2"/>
      <scheme val="minor"/>
    </font>
    <font>
      <b/>
      <sz val="12"/>
      <color theme="1"/>
      <name val="Arial"/>
      <family val="2"/>
      <scheme val="minor"/>
    </font>
    <font>
      <b/>
      <sz val="14"/>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1" fillId="2" borderId="0" xfId="0" applyFont="1" applyFill="1"/>
    <xf numFmtId="49" fontId="1" fillId="2" borderId="0" xfId="0" applyNumberFormat="1" applyFont="1" applyFill="1"/>
    <xf numFmtId="0" fontId="2" fillId="0" borderId="0" xfId="0" applyFont="1"/>
    <xf numFmtId="0" fontId="0" fillId="0" borderId="0" xfId="0" applyAlignment="1">
      <alignment horizontal="left"/>
    </xf>
    <xf numFmtId="0" fontId="2" fillId="0" borderId="0" xfId="0" applyFont="1" applyAlignment="1">
      <alignment horizontal="left"/>
    </xf>
    <xf numFmtId="0" fontId="3" fillId="0" borderId="0" xfId="0" applyFont="1"/>
    <xf numFmtId="0" fontId="1" fillId="2" borderId="0" xfId="0" applyFont="1" applyFill="1" applyAlignment="1">
      <alignment horizontal="center"/>
    </xf>
    <xf numFmtId="0" fontId="0" fillId="0" borderId="0" xfId="0" applyAlignment="1">
      <alignment horizontal="center"/>
    </xf>
    <xf numFmtId="0" fontId="1" fillId="0" borderId="0" xfId="0" applyFont="1" applyAlignment="1">
      <alignment horizontal="center"/>
    </xf>
    <xf numFmtId="0" fontId="0" fillId="3" borderId="0" xfId="0" applyFill="1" applyAlignment="1">
      <alignment horizontal="center"/>
    </xf>
    <xf numFmtId="0" fontId="1" fillId="3" borderId="0" xfId="0" applyFont="1" applyFill="1" applyAlignment="1">
      <alignment horizontal="center"/>
    </xf>
    <xf numFmtId="0" fontId="2" fillId="0" borderId="0" xfId="0" applyFont="1" applyAlignment="1">
      <alignment horizontal="center"/>
    </xf>
    <xf numFmtId="0" fontId="0" fillId="0" borderId="0" xfId="0" pivotButton="1"/>
    <xf numFmtId="10" fontId="0" fillId="0" borderId="0" xfId="0" applyNumberFormat="1"/>
    <xf numFmtId="0" fontId="0" fillId="4" borderId="0" xfId="0" applyFill="1"/>
    <xf numFmtId="164" fontId="5" fillId="0" borderId="0" xfId="0" applyNumberFormat="1" applyFont="1" applyAlignment="1">
      <alignment horizontal="center"/>
    </xf>
    <xf numFmtId="165" fontId="6" fillId="0" borderId="0" xfId="0" applyNumberFormat="1" applyFont="1" applyAlignment="1">
      <alignment horizontal="center"/>
    </xf>
    <xf numFmtId="166" fontId="5" fillId="0" borderId="0" xfId="0" applyNumberFormat="1" applyFont="1" applyAlignment="1">
      <alignment horizontal="center"/>
    </xf>
    <xf numFmtId="2" fontId="0" fillId="0" borderId="0" xfId="0" applyNumberFormat="1"/>
    <xf numFmtId="167" fontId="5" fillId="0" borderId="0" xfId="0" applyNumberFormat="1" applyFont="1" applyAlignment="1">
      <alignment horizontal="center"/>
    </xf>
    <xf numFmtId="166" fontId="7" fillId="0" borderId="0" xfId="0" applyNumberFormat="1" applyFont="1" applyAlignment="1">
      <alignment horizontal="center"/>
    </xf>
  </cellXfs>
  <cellStyles count="1">
    <cellStyle name="Normal" xfId="0" builtinId="0"/>
  </cellStyles>
  <dxfs count="5">
    <dxf>
      <numFmt numFmtId="2" formatCode="0.00"/>
    </dxf>
    <dxf>
      <numFmt numFmtId="2" formatCode="0.00"/>
    </dxf>
    <dxf>
      <numFmt numFmtId="2" formatCode="0.00"/>
    </dxf>
    <dxf>
      <font>
        <color rgb="FFC00000"/>
      </font>
      <fill>
        <patternFill>
          <bgColor rgb="FF92D050"/>
        </patternFill>
      </fill>
      <border>
        <left style="thin">
          <color auto="1"/>
        </left>
        <right style="thin">
          <color auto="1"/>
        </right>
        <top style="thin">
          <color auto="1"/>
        </top>
        <bottom style="thin">
          <color auto="1"/>
        </bottom>
      </border>
    </dxf>
    <dxf>
      <font>
        <name val="Arial"/>
        <family val="2"/>
        <scheme val="major"/>
      </font>
      <fill>
        <patternFill>
          <bgColor rgb="FF92D050"/>
        </patternFill>
      </fill>
    </dxf>
  </dxfs>
  <tableStyles count="3" defaultTableStyle="TableStyleMedium2" defaultPivotStyle="PivotStyleLight16">
    <tableStyle name="Slicer Style 1" pivot="0" table="0" count="1" xr9:uid="{D8E7F3B1-8E2E-4009-BA7B-212A49315E21}">
      <tableStyleElement type="wholeTable" dxfId="4"/>
    </tableStyle>
    <tableStyle name="Slicer Style 2" pivot="0" table="0" count="0" xr9:uid="{827ECCE9-8F21-4B55-A4D9-59DF5740343B}"/>
    <tableStyle name="Slicer Style 3" pivot="0" table="0" count="1" xr9:uid="{5B1E7E49-949C-471F-8180-78F44B829813}">
      <tableStyleElement type="wholeTable" dxfId="3"/>
    </tableStyle>
  </tableStyles>
  <colors>
    <mruColors>
      <color rgb="FFCFAFE7"/>
      <color rgb="FFA50176"/>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[Plants_data.xlsx]NURSERY'S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NURSERY'S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1"/>
        <c:ser>
          <c:idx val="0"/>
          <c:order val="0"/>
          <c:tx>
            <c:strRef>
              <c:f>'NURSERY''S REVENUE'!$B$3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DDE-4B81-A89A-E5EC740FBF9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DDE-4B81-A89A-E5EC740FBF9B}"/>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3-30F8-445B-B4B7-10F4D036574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DDE-4B81-A89A-E5EC740FBF9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DDE-4B81-A89A-E5EC740FBF9B}"/>
              </c:ext>
            </c:extLst>
          </c:dPt>
          <c:cat>
            <c:strRef>
              <c:f>'NURSERY''S REVENUE'!$A$4:$A$9</c:f>
              <c:strCache>
                <c:ptCount val="5"/>
                <c:pt idx="0">
                  <c:v>EcoGarden</c:v>
                </c:pt>
                <c:pt idx="1">
                  <c:v>GreenGrow</c:v>
                </c:pt>
                <c:pt idx="2">
                  <c:v>NatureNest</c:v>
                </c:pt>
                <c:pt idx="3">
                  <c:v>PlantHub</c:v>
                </c:pt>
                <c:pt idx="4">
                  <c:v>UrbanLeaf</c:v>
                </c:pt>
              </c:strCache>
            </c:strRef>
          </c:cat>
          <c:val>
            <c:numRef>
              <c:f>'NURSERY''S REVENUE'!$B$4:$B$9</c:f>
              <c:numCache>
                <c:formatCode>General</c:formatCode>
                <c:ptCount val="5"/>
                <c:pt idx="0">
                  <c:v>625442</c:v>
                </c:pt>
                <c:pt idx="1">
                  <c:v>489861</c:v>
                </c:pt>
                <c:pt idx="2">
                  <c:v>838135</c:v>
                </c:pt>
                <c:pt idx="3">
                  <c:v>728345</c:v>
                </c:pt>
                <c:pt idx="4">
                  <c:v>654053</c:v>
                </c:pt>
              </c:numCache>
            </c:numRef>
          </c:val>
          <c:extLst>
            <c:ext xmlns:c16="http://schemas.microsoft.com/office/drawing/2014/chart" uri="{C3380CC4-5D6E-409C-BE32-E72D297353CC}">
              <c16:uniqueId val="{00000000-30F8-445B-B4B7-10F4D0365749}"/>
            </c:ext>
          </c:extLst>
        </c:ser>
        <c:dLbls>
          <c:showLegendKey val="0"/>
          <c:showVal val="0"/>
          <c:showCatName val="0"/>
          <c:showSerName val="0"/>
          <c:showPercent val="0"/>
          <c:showBubbleSize val="0"/>
        </c:dLbls>
        <c:gapWidth val="219"/>
        <c:overlap val="-27"/>
        <c:axId val="1097854207"/>
        <c:axId val="989190287"/>
      </c:barChart>
      <c:catAx>
        <c:axId val="1097854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90287"/>
        <c:crosses val="autoZero"/>
        <c:auto val="1"/>
        <c:lblAlgn val="ctr"/>
        <c:lblOffset val="100"/>
        <c:noMultiLvlLbl val="0"/>
      </c:catAx>
      <c:valAx>
        <c:axId val="989190287"/>
        <c:scaling>
          <c:orientation val="minMax"/>
        </c:scaling>
        <c:delete val="0"/>
        <c:axPos val="l"/>
        <c:majorGridlines>
          <c:spPr>
            <a:ln w="9525" cap="flat" cmpd="sng" algn="ctr">
              <a:solidFill>
                <a:schemeClr val="bg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5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[Plants_data.xlsx]PLANTS 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PLANTS REVENUE COMPARISION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clustered"/>
        <c:varyColors val="1"/>
        <c:ser>
          <c:idx val="0"/>
          <c:order val="0"/>
          <c:tx>
            <c:strRef>
              <c:f>'PLANTS REVENUE'!$B$3</c:f>
              <c:strCache>
                <c:ptCount val="1"/>
                <c:pt idx="0">
                  <c:v>Total</c:v>
                </c:pt>
              </c:strCache>
            </c:strRef>
          </c:tx>
          <c:spPr>
            <a:ln>
              <a:noFill/>
            </a:ln>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10C-40AA-81FF-7C107BAB140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10C-40AA-81FF-7C107BAB140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10C-40AA-81FF-7C107BAB140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10C-40AA-81FF-7C107BAB140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10C-40AA-81FF-7C107BAB140D}"/>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10C-40AA-81FF-7C107BAB140D}"/>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10C-40AA-81FF-7C107BAB140D}"/>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10C-40AA-81FF-7C107BAB140D}"/>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610C-40AA-81FF-7C107BAB140D}"/>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610C-40AA-81FF-7C107BAB140D}"/>
              </c:ext>
            </c:extLst>
          </c:dPt>
          <c:cat>
            <c:strRef>
              <c:f>'PLANTS REVENUE'!$A$4:$A$14</c:f>
              <c:strCache>
                <c:ptCount val="10"/>
                <c:pt idx="0">
                  <c:v>Aloe</c:v>
                </c:pt>
                <c:pt idx="1">
                  <c:v>Bamboo</c:v>
                </c:pt>
                <c:pt idx="2">
                  <c:v>Cactus</c:v>
                </c:pt>
                <c:pt idx="3">
                  <c:v>Fern</c:v>
                </c:pt>
                <c:pt idx="4">
                  <c:v>Jasmine</c:v>
                </c:pt>
                <c:pt idx="5">
                  <c:v>Lily</c:v>
                </c:pt>
                <c:pt idx="6">
                  <c:v>Orchid</c:v>
                </c:pt>
                <c:pt idx="7">
                  <c:v>Palm</c:v>
                </c:pt>
                <c:pt idx="8">
                  <c:v>Rose</c:v>
                </c:pt>
                <c:pt idx="9">
                  <c:v>Tulip</c:v>
                </c:pt>
              </c:strCache>
            </c:strRef>
          </c:cat>
          <c:val>
            <c:numRef>
              <c:f>'PLANTS REVENUE'!$B$4:$B$14</c:f>
              <c:numCache>
                <c:formatCode>General</c:formatCode>
                <c:ptCount val="10"/>
                <c:pt idx="0">
                  <c:v>291417</c:v>
                </c:pt>
                <c:pt idx="1">
                  <c:v>271419</c:v>
                </c:pt>
                <c:pt idx="2">
                  <c:v>390691</c:v>
                </c:pt>
                <c:pt idx="3">
                  <c:v>343544</c:v>
                </c:pt>
                <c:pt idx="4">
                  <c:v>469597</c:v>
                </c:pt>
                <c:pt idx="5">
                  <c:v>398092</c:v>
                </c:pt>
                <c:pt idx="6">
                  <c:v>266832</c:v>
                </c:pt>
                <c:pt idx="7">
                  <c:v>183843</c:v>
                </c:pt>
                <c:pt idx="8">
                  <c:v>334006</c:v>
                </c:pt>
                <c:pt idx="9">
                  <c:v>386395</c:v>
                </c:pt>
              </c:numCache>
            </c:numRef>
          </c:val>
          <c:extLst>
            <c:ext xmlns:c16="http://schemas.microsoft.com/office/drawing/2014/chart" uri="{C3380CC4-5D6E-409C-BE32-E72D297353CC}">
              <c16:uniqueId val="{00000000-BFD1-4BC6-8017-6A5FC636D4D1}"/>
            </c:ext>
          </c:extLst>
        </c:ser>
        <c:dLbls>
          <c:showLegendKey val="0"/>
          <c:showVal val="0"/>
          <c:showCatName val="0"/>
          <c:showSerName val="0"/>
          <c:showPercent val="0"/>
          <c:showBubbleSize val="0"/>
        </c:dLbls>
        <c:gapWidth val="182"/>
        <c:axId val="1055908383"/>
        <c:axId val="974264111"/>
      </c:barChart>
      <c:catAx>
        <c:axId val="105590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64111"/>
        <c:crosses val="autoZero"/>
        <c:auto val="1"/>
        <c:lblAlgn val="ctr"/>
        <c:lblOffset val="100"/>
        <c:noMultiLvlLbl val="0"/>
      </c:catAx>
      <c:valAx>
        <c:axId val="974264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0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[Plants_data.xlsx]LOCATION WISE PLANTS!PivotTable5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 WISE PLANTS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61329833770772E-2"/>
          <c:y val="0.11620370370370373"/>
          <c:w val="0.75051290463692033"/>
          <c:h val="0.78203703703703709"/>
        </c:manualLayout>
      </c:layout>
      <c:barChart>
        <c:barDir val="col"/>
        <c:grouping val="clustered"/>
        <c:varyColors val="0"/>
        <c:ser>
          <c:idx val="0"/>
          <c:order val="0"/>
          <c:tx>
            <c:strRef>
              <c:f>'LOCATION WISE PLANTS'!$B$1:$B$2</c:f>
              <c:strCache>
                <c:ptCount val="1"/>
                <c:pt idx="0">
                  <c:v>Aloe</c:v>
                </c:pt>
              </c:strCache>
            </c:strRef>
          </c:tx>
          <c:spPr>
            <a:solidFill>
              <a:schemeClr val="accent1"/>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PLANTS'!$B$3:$B$9</c:f>
              <c:numCache>
                <c:formatCode>General</c:formatCode>
                <c:ptCount val="6"/>
                <c:pt idx="0">
                  <c:v>11</c:v>
                </c:pt>
                <c:pt idx="1">
                  <c:v>7</c:v>
                </c:pt>
                <c:pt idx="2">
                  <c:v>12</c:v>
                </c:pt>
                <c:pt idx="3">
                  <c:v>8</c:v>
                </c:pt>
                <c:pt idx="4">
                  <c:v>1</c:v>
                </c:pt>
                <c:pt idx="5">
                  <c:v>13</c:v>
                </c:pt>
              </c:numCache>
            </c:numRef>
          </c:val>
          <c:extLst>
            <c:ext xmlns:c16="http://schemas.microsoft.com/office/drawing/2014/chart" uri="{C3380CC4-5D6E-409C-BE32-E72D297353CC}">
              <c16:uniqueId val="{00000000-EACE-4451-A36F-F3DE58B6DF58}"/>
            </c:ext>
          </c:extLst>
        </c:ser>
        <c:ser>
          <c:idx val="1"/>
          <c:order val="1"/>
          <c:tx>
            <c:strRef>
              <c:f>'LOCATION WISE PLANTS'!$C$1:$C$2</c:f>
              <c:strCache>
                <c:ptCount val="1"/>
                <c:pt idx="0">
                  <c:v>Bamboo</c:v>
                </c:pt>
              </c:strCache>
            </c:strRef>
          </c:tx>
          <c:spPr>
            <a:solidFill>
              <a:schemeClr val="accent2"/>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PLANTS'!$C$3:$C$9</c:f>
              <c:numCache>
                <c:formatCode>General</c:formatCode>
                <c:ptCount val="6"/>
                <c:pt idx="0">
                  <c:v>3</c:v>
                </c:pt>
                <c:pt idx="1">
                  <c:v>5</c:v>
                </c:pt>
                <c:pt idx="2">
                  <c:v>7</c:v>
                </c:pt>
                <c:pt idx="3">
                  <c:v>3</c:v>
                </c:pt>
                <c:pt idx="4">
                  <c:v>11</c:v>
                </c:pt>
                <c:pt idx="5">
                  <c:v>24</c:v>
                </c:pt>
              </c:numCache>
            </c:numRef>
          </c:val>
          <c:extLst>
            <c:ext xmlns:c16="http://schemas.microsoft.com/office/drawing/2014/chart" uri="{C3380CC4-5D6E-409C-BE32-E72D297353CC}">
              <c16:uniqueId val="{00000015-17B9-470E-A71F-773BD12E87B5}"/>
            </c:ext>
          </c:extLst>
        </c:ser>
        <c:ser>
          <c:idx val="2"/>
          <c:order val="2"/>
          <c:tx>
            <c:strRef>
              <c:f>'LOCATION WISE PLANTS'!$D$1:$D$2</c:f>
              <c:strCache>
                <c:ptCount val="1"/>
                <c:pt idx="0">
                  <c:v>Cactus</c:v>
                </c:pt>
              </c:strCache>
            </c:strRef>
          </c:tx>
          <c:spPr>
            <a:solidFill>
              <a:schemeClr val="accent3"/>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PLANTS'!$D$3:$D$9</c:f>
              <c:numCache>
                <c:formatCode>General</c:formatCode>
                <c:ptCount val="6"/>
                <c:pt idx="0">
                  <c:v>3</c:v>
                </c:pt>
                <c:pt idx="1">
                  <c:v>6</c:v>
                </c:pt>
                <c:pt idx="2">
                  <c:v>7</c:v>
                </c:pt>
                <c:pt idx="3">
                  <c:v>5</c:v>
                </c:pt>
                <c:pt idx="4">
                  <c:v>7</c:v>
                </c:pt>
                <c:pt idx="5">
                  <c:v>29</c:v>
                </c:pt>
              </c:numCache>
            </c:numRef>
          </c:val>
          <c:extLst>
            <c:ext xmlns:c16="http://schemas.microsoft.com/office/drawing/2014/chart" uri="{C3380CC4-5D6E-409C-BE32-E72D297353CC}">
              <c16:uniqueId val="{00000016-17B9-470E-A71F-773BD12E87B5}"/>
            </c:ext>
          </c:extLst>
        </c:ser>
        <c:ser>
          <c:idx val="3"/>
          <c:order val="3"/>
          <c:tx>
            <c:strRef>
              <c:f>'LOCATION WISE PLANTS'!$E$1:$E$2</c:f>
              <c:strCache>
                <c:ptCount val="1"/>
                <c:pt idx="0">
                  <c:v>Fern</c:v>
                </c:pt>
              </c:strCache>
            </c:strRef>
          </c:tx>
          <c:spPr>
            <a:solidFill>
              <a:schemeClr val="accent4"/>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PLANTS'!$E$3:$E$9</c:f>
              <c:numCache>
                <c:formatCode>General</c:formatCode>
                <c:ptCount val="6"/>
                <c:pt idx="0">
                  <c:v>4</c:v>
                </c:pt>
                <c:pt idx="1">
                  <c:v>2</c:v>
                </c:pt>
                <c:pt idx="2">
                  <c:v>7</c:v>
                </c:pt>
                <c:pt idx="3">
                  <c:v>4</c:v>
                </c:pt>
                <c:pt idx="4">
                  <c:v>15</c:v>
                </c:pt>
                <c:pt idx="5">
                  <c:v>16</c:v>
                </c:pt>
              </c:numCache>
            </c:numRef>
          </c:val>
          <c:extLst>
            <c:ext xmlns:c16="http://schemas.microsoft.com/office/drawing/2014/chart" uri="{C3380CC4-5D6E-409C-BE32-E72D297353CC}">
              <c16:uniqueId val="{00000017-17B9-470E-A71F-773BD12E87B5}"/>
            </c:ext>
          </c:extLst>
        </c:ser>
        <c:ser>
          <c:idx val="4"/>
          <c:order val="4"/>
          <c:tx>
            <c:strRef>
              <c:f>'LOCATION WISE PLANTS'!$F$1:$F$2</c:f>
              <c:strCache>
                <c:ptCount val="1"/>
                <c:pt idx="0">
                  <c:v>Jasmine</c:v>
                </c:pt>
              </c:strCache>
            </c:strRef>
          </c:tx>
          <c:spPr>
            <a:solidFill>
              <a:schemeClr val="accent5"/>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PLANTS'!$F$3:$F$9</c:f>
              <c:numCache>
                <c:formatCode>General</c:formatCode>
                <c:ptCount val="6"/>
                <c:pt idx="0">
                  <c:v>7</c:v>
                </c:pt>
                <c:pt idx="1">
                  <c:v>9</c:v>
                </c:pt>
                <c:pt idx="2">
                  <c:v>4</c:v>
                </c:pt>
                <c:pt idx="3">
                  <c:v>9</c:v>
                </c:pt>
                <c:pt idx="4">
                  <c:v>6</c:v>
                </c:pt>
                <c:pt idx="5">
                  <c:v>24</c:v>
                </c:pt>
              </c:numCache>
            </c:numRef>
          </c:val>
          <c:extLst>
            <c:ext xmlns:c16="http://schemas.microsoft.com/office/drawing/2014/chart" uri="{C3380CC4-5D6E-409C-BE32-E72D297353CC}">
              <c16:uniqueId val="{00000018-17B9-470E-A71F-773BD12E87B5}"/>
            </c:ext>
          </c:extLst>
        </c:ser>
        <c:ser>
          <c:idx val="5"/>
          <c:order val="5"/>
          <c:tx>
            <c:strRef>
              <c:f>'LOCATION WISE PLANTS'!$G$1:$G$2</c:f>
              <c:strCache>
                <c:ptCount val="1"/>
                <c:pt idx="0">
                  <c:v>Lily</c:v>
                </c:pt>
              </c:strCache>
            </c:strRef>
          </c:tx>
          <c:spPr>
            <a:solidFill>
              <a:schemeClr val="accent6"/>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PLANTS'!$G$3:$G$9</c:f>
              <c:numCache>
                <c:formatCode>General</c:formatCode>
                <c:ptCount val="6"/>
                <c:pt idx="0">
                  <c:v>7</c:v>
                </c:pt>
                <c:pt idx="1">
                  <c:v>9</c:v>
                </c:pt>
                <c:pt idx="2">
                  <c:v>14</c:v>
                </c:pt>
                <c:pt idx="3">
                  <c:v>5</c:v>
                </c:pt>
                <c:pt idx="4">
                  <c:v>4</c:v>
                </c:pt>
                <c:pt idx="5">
                  <c:v>15</c:v>
                </c:pt>
              </c:numCache>
            </c:numRef>
          </c:val>
          <c:extLst>
            <c:ext xmlns:c16="http://schemas.microsoft.com/office/drawing/2014/chart" uri="{C3380CC4-5D6E-409C-BE32-E72D297353CC}">
              <c16:uniqueId val="{00000019-17B9-470E-A71F-773BD12E87B5}"/>
            </c:ext>
          </c:extLst>
        </c:ser>
        <c:ser>
          <c:idx val="6"/>
          <c:order val="6"/>
          <c:tx>
            <c:strRef>
              <c:f>'LOCATION WISE PLANTS'!$H$1:$H$2</c:f>
              <c:strCache>
                <c:ptCount val="1"/>
                <c:pt idx="0">
                  <c:v>Orchid</c:v>
                </c:pt>
              </c:strCache>
            </c:strRef>
          </c:tx>
          <c:spPr>
            <a:solidFill>
              <a:schemeClr val="accent1">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PLANTS'!$H$3:$H$9</c:f>
              <c:numCache>
                <c:formatCode>General</c:formatCode>
                <c:ptCount val="6"/>
                <c:pt idx="0">
                  <c:v>5</c:v>
                </c:pt>
                <c:pt idx="1">
                  <c:v>5</c:v>
                </c:pt>
                <c:pt idx="2">
                  <c:v>6</c:v>
                </c:pt>
                <c:pt idx="3">
                  <c:v>4</c:v>
                </c:pt>
                <c:pt idx="4">
                  <c:v>8</c:v>
                </c:pt>
                <c:pt idx="5">
                  <c:v>10</c:v>
                </c:pt>
              </c:numCache>
            </c:numRef>
          </c:val>
          <c:extLst>
            <c:ext xmlns:c16="http://schemas.microsoft.com/office/drawing/2014/chart" uri="{C3380CC4-5D6E-409C-BE32-E72D297353CC}">
              <c16:uniqueId val="{0000001A-17B9-470E-A71F-773BD12E87B5}"/>
            </c:ext>
          </c:extLst>
        </c:ser>
        <c:ser>
          <c:idx val="7"/>
          <c:order val="7"/>
          <c:tx>
            <c:strRef>
              <c:f>'LOCATION WISE PLANTS'!$I$1:$I$2</c:f>
              <c:strCache>
                <c:ptCount val="1"/>
                <c:pt idx="0">
                  <c:v>Palm</c:v>
                </c:pt>
              </c:strCache>
            </c:strRef>
          </c:tx>
          <c:spPr>
            <a:solidFill>
              <a:schemeClr val="accent2">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PLANTS'!$I$3:$I$9</c:f>
              <c:numCache>
                <c:formatCode>General</c:formatCode>
                <c:ptCount val="6"/>
                <c:pt idx="0">
                  <c:v>5</c:v>
                </c:pt>
                <c:pt idx="1">
                  <c:v>6</c:v>
                </c:pt>
                <c:pt idx="2">
                  <c:v>1</c:v>
                </c:pt>
                <c:pt idx="3">
                  <c:v>8</c:v>
                </c:pt>
                <c:pt idx="4">
                  <c:v>6</c:v>
                </c:pt>
                <c:pt idx="5">
                  <c:v>8</c:v>
                </c:pt>
              </c:numCache>
            </c:numRef>
          </c:val>
          <c:extLst>
            <c:ext xmlns:c16="http://schemas.microsoft.com/office/drawing/2014/chart" uri="{C3380CC4-5D6E-409C-BE32-E72D297353CC}">
              <c16:uniqueId val="{0000001B-17B9-470E-A71F-773BD12E87B5}"/>
            </c:ext>
          </c:extLst>
        </c:ser>
        <c:ser>
          <c:idx val="8"/>
          <c:order val="8"/>
          <c:tx>
            <c:strRef>
              <c:f>'LOCATION WISE PLANTS'!$J$1:$J$2</c:f>
              <c:strCache>
                <c:ptCount val="1"/>
                <c:pt idx="0">
                  <c:v>Rose</c:v>
                </c:pt>
              </c:strCache>
            </c:strRef>
          </c:tx>
          <c:spPr>
            <a:solidFill>
              <a:schemeClr val="accent3">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PLANTS'!$J$3:$J$9</c:f>
              <c:numCache>
                <c:formatCode>General</c:formatCode>
                <c:ptCount val="6"/>
                <c:pt idx="0">
                  <c:v>3</c:v>
                </c:pt>
                <c:pt idx="1">
                  <c:v>7</c:v>
                </c:pt>
                <c:pt idx="2">
                  <c:v>9</c:v>
                </c:pt>
                <c:pt idx="3">
                  <c:v>3</c:v>
                </c:pt>
                <c:pt idx="4">
                  <c:v>9</c:v>
                </c:pt>
                <c:pt idx="5">
                  <c:v>23</c:v>
                </c:pt>
              </c:numCache>
            </c:numRef>
          </c:val>
          <c:extLst>
            <c:ext xmlns:c16="http://schemas.microsoft.com/office/drawing/2014/chart" uri="{C3380CC4-5D6E-409C-BE32-E72D297353CC}">
              <c16:uniqueId val="{0000001C-17B9-470E-A71F-773BD12E87B5}"/>
            </c:ext>
          </c:extLst>
        </c:ser>
        <c:ser>
          <c:idx val="9"/>
          <c:order val="9"/>
          <c:tx>
            <c:strRef>
              <c:f>'LOCATION WISE PLANTS'!$K$1:$K$2</c:f>
              <c:strCache>
                <c:ptCount val="1"/>
                <c:pt idx="0">
                  <c:v>Tulip</c:v>
                </c:pt>
              </c:strCache>
            </c:strRef>
          </c:tx>
          <c:spPr>
            <a:solidFill>
              <a:schemeClr val="accent4">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PLANTS'!$K$3:$K$9</c:f>
              <c:numCache>
                <c:formatCode>General</c:formatCode>
                <c:ptCount val="6"/>
                <c:pt idx="1">
                  <c:v>3</c:v>
                </c:pt>
                <c:pt idx="2">
                  <c:v>10</c:v>
                </c:pt>
                <c:pt idx="3">
                  <c:v>8</c:v>
                </c:pt>
                <c:pt idx="4">
                  <c:v>12</c:v>
                </c:pt>
                <c:pt idx="5">
                  <c:v>18</c:v>
                </c:pt>
              </c:numCache>
            </c:numRef>
          </c:val>
          <c:extLst>
            <c:ext xmlns:c16="http://schemas.microsoft.com/office/drawing/2014/chart" uri="{C3380CC4-5D6E-409C-BE32-E72D297353CC}">
              <c16:uniqueId val="{0000001D-17B9-470E-A71F-773BD12E87B5}"/>
            </c:ext>
          </c:extLst>
        </c:ser>
        <c:dLbls>
          <c:showLegendKey val="0"/>
          <c:showVal val="0"/>
          <c:showCatName val="0"/>
          <c:showSerName val="0"/>
          <c:showPercent val="0"/>
          <c:showBubbleSize val="0"/>
        </c:dLbls>
        <c:gapWidth val="219"/>
        <c:overlap val="-27"/>
        <c:axId val="1107266607"/>
        <c:axId val="989199887"/>
      </c:barChart>
      <c:catAx>
        <c:axId val="110726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99887"/>
        <c:crosses val="autoZero"/>
        <c:auto val="1"/>
        <c:lblAlgn val="ctr"/>
        <c:lblOffset val="100"/>
        <c:noMultiLvlLbl val="0"/>
      </c:catAx>
      <c:valAx>
        <c:axId val="989199887"/>
        <c:scaling>
          <c:orientation val="minMax"/>
        </c:scaling>
        <c:delete val="1"/>
        <c:axPos val="l"/>
        <c:numFmt formatCode="General" sourceLinked="1"/>
        <c:majorTickMark val="none"/>
        <c:minorTickMark val="none"/>
        <c:tickLblPos val="nextTo"/>
        <c:crossAx val="110726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[Plants_data.xlsx]UNITS SOLD BY NURSERY!PivotTable6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NURSERY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36629467369211"/>
              <c:y val="0.17216831170751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36629467369211"/>
              <c:y val="0.17216831170751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0795653010478953"/>
              <c:y val="0.15816282207681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63823272090988"/>
          <c:y val="0.27259040536599594"/>
          <c:w val="0.41422353455818023"/>
          <c:h val="0.69037255759696703"/>
        </c:manualLayout>
      </c:layout>
      <c:pieChart>
        <c:varyColors val="1"/>
        <c:ser>
          <c:idx val="0"/>
          <c:order val="0"/>
          <c:tx>
            <c:strRef>
              <c:f>'UNITS SOLD BY NURSERY'!$B$3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96-4E63-B361-61E8A112D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96-4E63-B361-61E8A112D5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96-4E63-B361-61E8A112D5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96-4E63-B361-61E8A112D5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96-4E63-B361-61E8A112D59A}"/>
              </c:ext>
            </c:extLst>
          </c:dPt>
          <c:dLbls>
            <c:dLbl>
              <c:idx val="0"/>
              <c:layout>
                <c:manualLayout>
                  <c:x val="-0.1036629467369211"/>
                  <c:y val="0.1721683117075154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96-4E63-B361-61E8A112D59A}"/>
                </c:ext>
              </c:extLst>
            </c:dLbl>
            <c:dLbl>
              <c:idx val="1"/>
              <c:layout>
                <c:manualLayout>
                  <c:x val="-0.1036629467369211"/>
                  <c:y val="0.1721683117075154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96-4E63-B361-61E8A112D59A}"/>
                </c:ext>
              </c:extLst>
            </c:dLbl>
            <c:dLbl>
              <c:idx val="4"/>
              <c:layout>
                <c:manualLayout>
                  <c:x val="0.10795653010478953"/>
                  <c:y val="0.1581628220768178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E96-4E63-B361-61E8A112D5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'UNITS SOLD BY NURSERY'!$A$4:$A$9</c:f>
              <c:strCache>
                <c:ptCount val="5"/>
                <c:pt idx="0">
                  <c:v>EcoGarden</c:v>
                </c:pt>
                <c:pt idx="1">
                  <c:v>GreenGrow</c:v>
                </c:pt>
                <c:pt idx="2">
                  <c:v>NatureNest</c:v>
                </c:pt>
                <c:pt idx="3">
                  <c:v>PlantHub</c:v>
                </c:pt>
                <c:pt idx="4">
                  <c:v>UrbanLeaf</c:v>
                </c:pt>
              </c:strCache>
            </c:strRef>
          </c:cat>
          <c:val>
            <c:numRef>
              <c:f>'UNITS SOLD BY NURSERY'!$B$4:$B$9</c:f>
              <c:numCache>
                <c:formatCode>0.00%</c:formatCode>
                <c:ptCount val="5"/>
                <c:pt idx="0">
                  <c:v>0.20064622901725904</c:v>
                </c:pt>
                <c:pt idx="1">
                  <c:v>0.1420127669635117</c:v>
                </c:pt>
                <c:pt idx="2">
                  <c:v>0.22570730554023169</c:v>
                </c:pt>
                <c:pt idx="3">
                  <c:v>0.23421861454803372</c:v>
                </c:pt>
                <c:pt idx="4">
                  <c:v>0.19741508393096383</c:v>
                </c:pt>
              </c:numCache>
            </c:numRef>
          </c:val>
          <c:extLst>
            <c:ext xmlns:c16="http://schemas.microsoft.com/office/drawing/2014/chart" uri="{C3380CC4-5D6E-409C-BE32-E72D297353CC}">
              <c16:uniqueId val="{00000000-C2C1-4B9B-B5DC-CE3E2D43E47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[Plants_data.xlsx]NURSERY WISE PLANTS!PivotTable7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NURSERY WISE PLANTS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2222222222215E-2"/>
          <c:y val="0.14398148148148149"/>
          <c:w val="0.78731867891513563"/>
          <c:h val="0.78194444444444444"/>
        </c:manualLayout>
      </c:layout>
      <c:barChart>
        <c:barDir val="col"/>
        <c:grouping val="stacked"/>
        <c:varyColors val="0"/>
        <c:ser>
          <c:idx val="0"/>
          <c:order val="0"/>
          <c:tx>
            <c:strRef>
              <c:f>'NURSERY WISE PLANTS'!$B$3:$B$4</c:f>
              <c:strCache>
                <c:ptCount val="1"/>
                <c:pt idx="0">
                  <c:v>Aloe</c:v>
                </c:pt>
              </c:strCache>
            </c:strRef>
          </c:tx>
          <c:spPr>
            <a:solidFill>
              <a:schemeClr val="accent1"/>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PLANTS'!$B$5:$B$10</c:f>
              <c:numCache>
                <c:formatCode>General</c:formatCode>
                <c:ptCount val="5"/>
                <c:pt idx="0">
                  <c:v>12</c:v>
                </c:pt>
                <c:pt idx="1">
                  <c:v>8</c:v>
                </c:pt>
                <c:pt idx="2">
                  <c:v>7</c:v>
                </c:pt>
                <c:pt idx="3">
                  <c:v>9</c:v>
                </c:pt>
                <c:pt idx="4">
                  <c:v>16</c:v>
                </c:pt>
              </c:numCache>
            </c:numRef>
          </c:val>
          <c:extLst>
            <c:ext xmlns:c16="http://schemas.microsoft.com/office/drawing/2014/chart" uri="{C3380CC4-5D6E-409C-BE32-E72D297353CC}">
              <c16:uniqueId val="{00000000-F3ED-4F3D-8C18-5A565C1F745C}"/>
            </c:ext>
          </c:extLst>
        </c:ser>
        <c:ser>
          <c:idx val="1"/>
          <c:order val="1"/>
          <c:tx>
            <c:strRef>
              <c:f>'NURSERY WISE PLANTS'!$C$3:$C$4</c:f>
              <c:strCache>
                <c:ptCount val="1"/>
                <c:pt idx="0">
                  <c:v>Bamboo</c:v>
                </c:pt>
              </c:strCache>
            </c:strRef>
          </c:tx>
          <c:spPr>
            <a:solidFill>
              <a:schemeClr val="accent2"/>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PLANTS'!$C$5:$C$10</c:f>
              <c:numCache>
                <c:formatCode>General</c:formatCode>
                <c:ptCount val="5"/>
                <c:pt idx="0">
                  <c:v>10</c:v>
                </c:pt>
                <c:pt idx="1">
                  <c:v>9</c:v>
                </c:pt>
                <c:pt idx="2">
                  <c:v>12</c:v>
                </c:pt>
                <c:pt idx="3">
                  <c:v>13</c:v>
                </c:pt>
                <c:pt idx="4">
                  <c:v>9</c:v>
                </c:pt>
              </c:numCache>
            </c:numRef>
          </c:val>
          <c:extLst>
            <c:ext xmlns:c16="http://schemas.microsoft.com/office/drawing/2014/chart" uri="{C3380CC4-5D6E-409C-BE32-E72D297353CC}">
              <c16:uniqueId val="{00000015-4EEB-41BA-A121-B53F0E0BF706}"/>
            </c:ext>
          </c:extLst>
        </c:ser>
        <c:ser>
          <c:idx val="2"/>
          <c:order val="2"/>
          <c:tx>
            <c:strRef>
              <c:f>'NURSERY WISE PLANTS'!$D$3:$D$4</c:f>
              <c:strCache>
                <c:ptCount val="1"/>
                <c:pt idx="0">
                  <c:v>Cactus</c:v>
                </c:pt>
              </c:strCache>
            </c:strRef>
          </c:tx>
          <c:spPr>
            <a:solidFill>
              <a:schemeClr val="accent3"/>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PLANTS'!$D$5:$D$10</c:f>
              <c:numCache>
                <c:formatCode>General</c:formatCode>
                <c:ptCount val="5"/>
                <c:pt idx="0">
                  <c:v>11</c:v>
                </c:pt>
                <c:pt idx="1">
                  <c:v>14</c:v>
                </c:pt>
                <c:pt idx="2">
                  <c:v>9</c:v>
                </c:pt>
                <c:pt idx="3">
                  <c:v>14</c:v>
                </c:pt>
                <c:pt idx="4">
                  <c:v>9</c:v>
                </c:pt>
              </c:numCache>
            </c:numRef>
          </c:val>
          <c:extLst>
            <c:ext xmlns:c16="http://schemas.microsoft.com/office/drawing/2014/chart" uri="{C3380CC4-5D6E-409C-BE32-E72D297353CC}">
              <c16:uniqueId val="{00000016-4EEB-41BA-A121-B53F0E0BF706}"/>
            </c:ext>
          </c:extLst>
        </c:ser>
        <c:ser>
          <c:idx val="3"/>
          <c:order val="3"/>
          <c:tx>
            <c:strRef>
              <c:f>'NURSERY WISE PLANTS'!$E$3:$E$4</c:f>
              <c:strCache>
                <c:ptCount val="1"/>
                <c:pt idx="0">
                  <c:v>Fern</c:v>
                </c:pt>
              </c:strCache>
            </c:strRef>
          </c:tx>
          <c:spPr>
            <a:solidFill>
              <a:schemeClr val="accent4"/>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PLANTS'!$E$5:$E$10</c:f>
              <c:numCache>
                <c:formatCode>General</c:formatCode>
                <c:ptCount val="5"/>
                <c:pt idx="0">
                  <c:v>7</c:v>
                </c:pt>
                <c:pt idx="1">
                  <c:v>7</c:v>
                </c:pt>
                <c:pt idx="2">
                  <c:v>19</c:v>
                </c:pt>
                <c:pt idx="3">
                  <c:v>7</c:v>
                </c:pt>
                <c:pt idx="4">
                  <c:v>8</c:v>
                </c:pt>
              </c:numCache>
            </c:numRef>
          </c:val>
          <c:extLst>
            <c:ext xmlns:c16="http://schemas.microsoft.com/office/drawing/2014/chart" uri="{C3380CC4-5D6E-409C-BE32-E72D297353CC}">
              <c16:uniqueId val="{00000017-4EEB-41BA-A121-B53F0E0BF706}"/>
            </c:ext>
          </c:extLst>
        </c:ser>
        <c:ser>
          <c:idx val="4"/>
          <c:order val="4"/>
          <c:tx>
            <c:strRef>
              <c:f>'NURSERY WISE PLANTS'!$F$3:$F$4</c:f>
              <c:strCache>
                <c:ptCount val="1"/>
                <c:pt idx="0">
                  <c:v>Jasmine</c:v>
                </c:pt>
              </c:strCache>
            </c:strRef>
          </c:tx>
          <c:spPr>
            <a:solidFill>
              <a:schemeClr val="accent5"/>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PLANTS'!$F$5:$F$10</c:f>
              <c:numCache>
                <c:formatCode>General</c:formatCode>
                <c:ptCount val="5"/>
                <c:pt idx="0">
                  <c:v>14</c:v>
                </c:pt>
                <c:pt idx="1">
                  <c:v>9</c:v>
                </c:pt>
                <c:pt idx="2">
                  <c:v>8</c:v>
                </c:pt>
                <c:pt idx="3">
                  <c:v>13</c:v>
                </c:pt>
                <c:pt idx="4">
                  <c:v>15</c:v>
                </c:pt>
              </c:numCache>
            </c:numRef>
          </c:val>
          <c:extLst>
            <c:ext xmlns:c16="http://schemas.microsoft.com/office/drawing/2014/chart" uri="{C3380CC4-5D6E-409C-BE32-E72D297353CC}">
              <c16:uniqueId val="{00000018-4EEB-41BA-A121-B53F0E0BF706}"/>
            </c:ext>
          </c:extLst>
        </c:ser>
        <c:ser>
          <c:idx val="5"/>
          <c:order val="5"/>
          <c:tx>
            <c:strRef>
              <c:f>'NURSERY WISE PLANTS'!$G$3:$G$4</c:f>
              <c:strCache>
                <c:ptCount val="1"/>
                <c:pt idx="0">
                  <c:v>Lily</c:v>
                </c:pt>
              </c:strCache>
            </c:strRef>
          </c:tx>
          <c:spPr>
            <a:solidFill>
              <a:schemeClr val="accent6"/>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PLANTS'!$G$5:$G$10</c:f>
              <c:numCache>
                <c:formatCode>General</c:formatCode>
                <c:ptCount val="5"/>
                <c:pt idx="0">
                  <c:v>8</c:v>
                </c:pt>
                <c:pt idx="1">
                  <c:v>11</c:v>
                </c:pt>
                <c:pt idx="2">
                  <c:v>10</c:v>
                </c:pt>
                <c:pt idx="3">
                  <c:v>14</c:v>
                </c:pt>
                <c:pt idx="4">
                  <c:v>11</c:v>
                </c:pt>
              </c:numCache>
            </c:numRef>
          </c:val>
          <c:extLst>
            <c:ext xmlns:c16="http://schemas.microsoft.com/office/drawing/2014/chart" uri="{C3380CC4-5D6E-409C-BE32-E72D297353CC}">
              <c16:uniqueId val="{00000019-4EEB-41BA-A121-B53F0E0BF706}"/>
            </c:ext>
          </c:extLst>
        </c:ser>
        <c:ser>
          <c:idx val="6"/>
          <c:order val="6"/>
          <c:tx>
            <c:strRef>
              <c:f>'NURSERY WISE PLANTS'!$H$3:$H$4</c:f>
              <c:strCache>
                <c:ptCount val="1"/>
                <c:pt idx="0">
                  <c:v>Orchid</c:v>
                </c:pt>
              </c:strCache>
            </c:strRef>
          </c:tx>
          <c:spPr>
            <a:solidFill>
              <a:schemeClr val="accent1">
                <a:lumMod val="60000"/>
              </a:schemeClr>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PLANTS'!$H$5:$H$10</c:f>
              <c:numCache>
                <c:formatCode>General</c:formatCode>
                <c:ptCount val="5"/>
                <c:pt idx="0">
                  <c:v>5</c:v>
                </c:pt>
                <c:pt idx="1">
                  <c:v>2</c:v>
                </c:pt>
                <c:pt idx="2">
                  <c:v>14</c:v>
                </c:pt>
                <c:pt idx="3">
                  <c:v>10</c:v>
                </c:pt>
                <c:pt idx="4">
                  <c:v>7</c:v>
                </c:pt>
              </c:numCache>
            </c:numRef>
          </c:val>
          <c:extLst>
            <c:ext xmlns:c16="http://schemas.microsoft.com/office/drawing/2014/chart" uri="{C3380CC4-5D6E-409C-BE32-E72D297353CC}">
              <c16:uniqueId val="{0000001A-4EEB-41BA-A121-B53F0E0BF706}"/>
            </c:ext>
          </c:extLst>
        </c:ser>
        <c:ser>
          <c:idx val="7"/>
          <c:order val="7"/>
          <c:tx>
            <c:strRef>
              <c:f>'NURSERY WISE PLANTS'!$I$3:$I$4</c:f>
              <c:strCache>
                <c:ptCount val="1"/>
                <c:pt idx="0">
                  <c:v>Palm</c:v>
                </c:pt>
              </c:strCache>
            </c:strRef>
          </c:tx>
          <c:spPr>
            <a:solidFill>
              <a:schemeClr val="accent2">
                <a:lumMod val="60000"/>
              </a:schemeClr>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PLANTS'!$I$5:$I$10</c:f>
              <c:numCache>
                <c:formatCode>General</c:formatCode>
                <c:ptCount val="5"/>
                <c:pt idx="0">
                  <c:v>8</c:v>
                </c:pt>
                <c:pt idx="1">
                  <c:v>6</c:v>
                </c:pt>
                <c:pt idx="2">
                  <c:v>5</c:v>
                </c:pt>
                <c:pt idx="3">
                  <c:v>6</c:v>
                </c:pt>
                <c:pt idx="4">
                  <c:v>9</c:v>
                </c:pt>
              </c:numCache>
            </c:numRef>
          </c:val>
          <c:extLst>
            <c:ext xmlns:c16="http://schemas.microsoft.com/office/drawing/2014/chart" uri="{C3380CC4-5D6E-409C-BE32-E72D297353CC}">
              <c16:uniqueId val="{0000001B-4EEB-41BA-A121-B53F0E0BF706}"/>
            </c:ext>
          </c:extLst>
        </c:ser>
        <c:ser>
          <c:idx val="8"/>
          <c:order val="8"/>
          <c:tx>
            <c:strRef>
              <c:f>'NURSERY WISE PLANTS'!$J$3:$J$4</c:f>
              <c:strCache>
                <c:ptCount val="1"/>
                <c:pt idx="0">
                  <c:v>Rose</c:v>
                </c:pt>
              </c:strCache>
            </c:strRef>
          </c:tx>
          <c:spPr>
            <a:solidFill>
              <a:schemeClr val="accent3">
                <a:lumMod val="60000"/>
              </a:schemeClr>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PLANTS'!$J$5:$J$10</c:f>
              <c:numCache>
                <c:formatCode>General</c:formatCode>
                <c:ptCount val="5"/>
                <c:pt idx="0">
                  <c:v>12</c:v>
                </c:pt>
                <c:pt idx="1">
                  <c:v>7</c:v>
                </c:pt>
                <c:pt idx="2">
                  <c:v>14</c:v>
                </c:pt>
                <c:pt idx="3">
                  <c:v>9</c:v>
                </c:pt>
                <c:pt idx="4">
                  <c:v>12</c:v>
                </c:pt>
              </c:numCache>
            </c:numRef>
          </c:val>
          <c:extLst>
            <c:ext xmlns:c16="http://schemas.microsoft.com/office/drawing/2014/chart" uri="{C3380CC4-5D6E-409C-BE32-E72D297353CC}">
              <c16:uniqueId val="{0000001C-4EEB-41BA-A121-B53F0E0BF706}"/>
            </c:ext>
          </c:extLst>
        </c:ser>
        <c:ser>
          <c:idx val="9"/>
          <c:order val="9"/>
          <c:tx>
            <c:strRef>
              <c:f>'NURSERY WISE PLANTS'!$K$3:$K$4</c:f>
              <c:strCache>
                <c:ptCount val="1"/>
                <c:pt idx="0">
                  <c:v>Tulip</c:v>
                </c:pt>
              </c:strCache>
            </c:strRef>
          </c:tx>
          <c:spPr>
            <a:solidFill>
              <a:schemeClr val="accent4">
                <a:lumMod val="60000"/>
              </a:schemeClr>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PLANTS'!$K$5:$K$10</c:f>
              <c:numCache>
                <c:formatCode>General</c:formatCode>
                <c:ptCount val="5"/>
                <c:pt idx="0">
                  <c:v>11</c:v>
                </c:pt>
                <c:pt idx="1">
                  <c:v>4</c:v>
                </c:pt>
                <c:pt idx="2">
                  <c:v>17</c:v>
                </c:pt>
                <c:pt idx="3">
                  <c:v>11</c:v>
                </c:pt>
                <c:pt idx="4">
                  <c:v>8</c:v>
                </c:pt>
              </c:numCache>
            </c:numRef>
          </c:val>
          <c:extLst>
            <c:ext xmlns:c16="http://schemas.microsoft.com/office/drawing/2014/chart" uri="{C3380CC4-5D6E-409C-BE32-E72D297353CC}">
              <c16:uniqueId val="{0000001D-4EEB-41BA-A121-B53F0E0BF706}"/>
            </c:ext>
          </c:extLst>
        </c:ser>
        <c:dLbls>
          <c:showLegendKey val="0"/>
          <c:showVal val="0"/>
          <c:showCatName val="0"/>
          <c:showSerName val="0"/>
          <c:showPercent val="0"/>
          <c:showBubbleSize val="0"/>
        </c:dLbls>
        <c:gapWidth val="150"/>
        <c:overlap val="100"/>
        <c:axId val="1274981551"/>
        <c:axId val="974235311"/>
      </c:barChart>
      <c:catAx>
        <c:axId val="1274981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35311"/>
        <c:crosses val="autoZero"/>
        <c:auto val="1"/>
        <c:lblAlgn val="ctr"/>
        <c:lblOffset val="100"/>
        <c:noMultiLvlLbl val="0"/>
      </c:catAx>
      <c:valAx>
        <c:axId val="974235311"/>
        <c:scaling>
          <c:orientation val="minMax"/>
        </c:scaling>
        <c:delete val="1"/>
        <c:axPos val="l"/>
        <c:numFmt formatCode="General" sourceLinked="1"/>
        <c:majorTickMark val="out"/>
        <c:minorTickMark val="none"/>
        <c:tickLblPos val="nextTo"/>
        <c:crossAx val="127498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[Plants_data.xlsx]CATAGORY WISE PLANTS!PivotTable8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PLANTS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8034188034188E-2"/>
          <c:y val="0.10694444444444444"/>
          <c:w val="0.77945983915472106"/>
          <c:h val="0.69519101778944303"/>
        </c:manualLayout>
      </c:layout>
      <c:barChart>
        <c:barDir val="col"/>
        <c:grouping val="clustered"/>
        <c:varyColors val="0"/>
        <c:ser>
          <c:idx val="0"/>
          <c:order val="0"/>
          <c:tx>
            <c:strRef>
              <c:f>'CATAGORY WISE PLANTS'!$B$1:$B$2</c:f>
              <c:strCache>
                <c:ptCount val="1"/>
                <c:pt idx="0">
                  <c:v>Aloe</c:v>
                </c:pt>
              </c:strCache>
            </c:strRef>
          </c:tx>
          <c:spPr>
            <a:solidFill>
              <a:schemeClr val="accent1"/>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PLANTS'!$B$3:$B$8</c:f>
              <c:numCache>
                <c:formatCode>General</c:formatCode>
                <c:ptCount val="5"/>
                <c:pt idx="0">
                  <c:v>7</c:v>
                </c:pt>
                <c:pt idx="1">
                  <c:v>2</c:v>
                </c:pt>
                <c:pt idx="2">
                  <c:v>11</c:v>
                </c:pt>
                <c:pt idx="3">
                  <c:v>15</c:v>
                </c:pt>
                <c:pt idx="4">
                  <c:v>17</c:v>
                </c:pt>
              </c:numCache>
            </c:numRef>
          </c:val>
          <c:extLst>
            <c:ext xmlns:c16="http://schemas.microsoft.com/office/drawing/2014/chart" uri="{C3380CC4-5D6E-409C-BE32-E72D297353CC}">
              <c16:uniqueId val="{00000000-1979-4306-9D92-4F449DEAC4B8}"/>
            </c:ext>
          </c:extLst>
        </c:ser>
        <c:ser>
          <c:idx val="1"/>
          <c:order val="1"/>
          <c:tx>
            <c:strRef>
              <c:f>'CATAGORY WISE PLANTS'!$C$1:$C$2</c:f>
              <c:strCache>
                <c:ptCount val="1"/>
                <c:pt idx="0">
                  <c:v>Bamboo</c:v>
                </c:pt>
              </c:strCache>
            </c:strRef>
          </c:tx>
          <c:spPr>
            <a:solidFill>
              <a:schemeClr val="accent2"/>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PLANTS'!$C$3:$C$8</c:f>
              <c:numCache>
                <c:formatCode>General</c:formatCode>
                <c:ptCount val="5"/>
                <c:pt idx="0">
                  <c:v>2</c:v>
                </c:pt>
                <c:pt idx="1">
                  <c:v>8</c:v>
                </c:pt>
                <c:pt idx="2">
                  <c:v>18</c:v>
                </c:pt>
                <c:pt idx="3">
                  <c:v>12</c:v>
                </c:pt>
                <c:pt idx="4">
                  <c:v>13</c:v>
                </c:pt>
              </c:numCache>
            </c:numRef>
          </c:val>
          <c:extLst>
            <c:ext xmlns:c16="http://schemas.microsoft.com/office/drawing/2014/chart" uri="{C3380CC4-5D6E-409C-BE32-E72D297353CC}">
              <c16:uniqueId val="{00000015-6F46-42F8-9A1E-676433429E93}"/>
            </c:ext>
          </c:extLst>
        </c:ser>
        <c:ser>
          <c:idx val="2"/>
          <c:order val="2"/>
          <c:tx>
            <c:strRef>
              <c:f>'CATAGORY WISE PLANTS'!$D$1:$D$2</c:f>
              <c:strCache>
                <c:ptCount val="1"/>
                <c:pt idx="0">
                  <c:v>Cactus</c:v>
                </c:pt>
              </c:strCache>
            </c:strRef>
          </c:tx>
          <c:spPr>
            <a:solidFill>
              <a:schemeClr val="accent3"/>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PLANTS'!$D$3:$D$8</c:f>
              <c:numCache>
                <c:formatCode>General</c:formatCode>
                <c:ptCount val="5"/>
                <c:pt idx="0">
                  <c:v>15</c:v>
                </c:pt>
                <c:pt idx="1">
                  <c:v>8</c:v>
                </c:pt>
                <c:pt idx="2">
                  <c:v>20</c:v>
                </c:pt>
                <c:pt idx="3">
                  <c:v>6</c:v>
                </c:pt>
                <c:pt idx="4">
                  <c:v>8</c:v>
                </c:pt>
              </c:numCache>
            </c:numRef>
          </c:val>
          <c:extLst>
            <c:ext xmlns:c16="http://schemas.microsoft.com/office/drawing/2014/chart" uri="{C3380CC4-5D6E-409C-BE32-E72D297353CC}">
              <c16:uniqueId val="{00000016-6F46-42F8-9A1E-676433429E93}"/>
            </c:ext>
          </c:extLst>
        </c:ser>
        <c:ser>
          <c:idx val="3"/>
          <c:order val="3"/>
          <c:tx>
            <c:strRef>
              <c:f>'CATAGORY WISE PLANTS'!$E$1:$E$2</c:f>
              <c:strCache>
                <c:ptCount val="1"/>
                <c:pt idx="0">
                  <c:v>Fern</c:v>
                </c:pt>
              </c:strCache>
            </c:strRef>
          </c:tx>
          <c:spPr>
            <a:solidFill>
              <a:schemeClr val="accent4"/>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PLANTS'!$E$3:$E$8</c:f>
              <c:numCache>
                <c:formatCode>General</c:formatCode>
                <c:ptCount val="5"/>
                <c:pt idx="0">
                  <c:v>13</c:v>
                </c:pt>
                <c:pt idx="1">
                  <c:v>8</c:v>
                </c:pt>
                <c:pt idx="2">
                  <c:v>13</c:v>
                </c:pt>
                <c:pt idx="3">
                  <c:v>10</c:v>
                </c:pt>
                <c:pt idx="4">
                  <c:v>4</c:v>
                </c:pt>
              </c:numCache>
            </c:numRef>
          </c:val>
          <c:extLst>
            <c:ext xmlns:c16="http://schemas.microsoft.com/office/drawing/2014/chart" uri="{C3380CC4-5D6E-409C-BE32-E72D297353CC}">
              <c16:uniqueId val="{00000017-6F46-42F8-9A1E-676433429E93}"/>
            </c:ext>
          </c:extLst>
        </c:ser>
        <c:ser>
          <c:idx val="4"/>
          <c:order val="4"/>
          <c:tx>
            <c:strRef>
              <c:f>'CATAGORY WISE PLANTS'!$F$1:$F$2</c:f>
              <c:strCache>
                <c:ptCount val="1"/>
                <c:pt idx="0">
                  <c:v>Jasmine</c:v>
                </c:pt>
              </c:strCache>
            </c:strRef>
          </c:tx>
          <c:spPr>
            <a:solidFill>
              <a:schemeClr val="accent5"/>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PLANTS'!$F$3:$F$8</c:f>
              <c:numCache>
                <c:formatCode>General</c:formatCode>
                <c:ptCount val="5"/>
                <c:pt idx="0">
                  <c:v>14</c:v>
                </c:pt>
                <c:pt idx="1">
                  <c:v>4</c:v>
                </c:pt>
                <c:pt idx="2">
                  <c:v>14</c:v>
                </c:pt>
                <c:pt idx="3">
                  <c:v>14</c:v>
                </c:pt>
                <c:pt idx="4">
                  <c:v>13</c:v>
                </c:pt>
              </c:numCache>
            </c:numRef>
          </c:val>
          <c:extLst>
            <c:ext xmlns:c16="http://schemas.microsoft.com/office/drawing/2014/chart" uri="{C3380CC4-5D6E-409C-BE32-E72D297353CC}">
              <c16:uniqueId val="{00000018-6F46-42F8-9A1E-676433429E93}"/>
            </c:ext>
          </c:extLst>
        </c:ser>
        <c:ser>
          <c:idx val="5"/>
          <c:order val="5"/>
          <c:tx>
            <c:strRef>
              <c:f>'CATAGORY WISE PLANTS'!$G$1:$G$2</c:f>
              <c:strCache>
                <c:ptCount val="1"/>
                <c:pt idx="0">
                  <c:v>Lily</c:v>
                </c:pt>
              </c:strCache>
            </c:strRef>
          </c:tx>
          <c:spPr>
            <a:solidFill>
              <a:schemeClr val="accent6"/>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PLANTS'!$G$3:$G$8</c:f>
              <c:numCache>
                <c:formatCode>General</c:formatCode>
                <c:ptCount val="5"/>
                <c:pt idx="0">
                  <c:v>15</c:v>
                </c:pt>
                <c:pt idx="1">
                  <c:v>6</c:v>
                </c:pt>
                <c:pt idx="2">
                  <c:v>11</c:v>
                </c:pt>
                <c:pt idx="3">
                  <c:v>10</c:v>
                </c:pt>
                <c:pt idx="4">
                  <c:v>12</c:v>
                </c:pt>
              </c:numCache>
            </c:numRef>
          </c:val>
          <c:extLst>
            <c:ext xmlns:c16="http://schemas.microsoft.com/office/drawing/2014/chart" uri="{C3380CC4-5D6E-409C-BE32-E72D297353CC}">
              <c16:uniqueId val="{00000019-6F46-42F8-9A1E-676433429E93}"/>
            </c:ext>
          </c:extLst>
        </c:ser>
        <c:ser>
          <c:idx val="6"/>
          <c:order val="6"/>
          <c:tx>
            <c:strRef>
              <c:f>'CATAGORY WISE PLANTS'!$H$1:$H$2</c:f>
              <c:strCache>
                <c:ptCount val="1"/>
                <c:pt idx="0">
                  <c:v>Orchid</c:v>
                </c:pt>
              </c:strCache>
            </c:strRef>
          </c:tx>
          <c:spPr>
            <a:solidFill>
              <a:schemeClr val="accent1">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PLANTS'!$H$3:$H$8</c:f>
              <c:numCache>
                <c:formatCode>General</c:formatCode>
                <c:ptCount val="5"/>
                <c:pt idx="0">
                  <c:v>9</c:v>
                </c:pt>
                <c:pt idx="1">
                  <c:v>7</c:v>
                </c:pt>
                <c:pt idx="2">
                  <c:v>6</c:v>
                </c:pt>
                <c:pt idx="3">
                  <c:v>6</c:v>
                </c:pt>
                <c:pt idx="4">
                  <c:v>10</c:v>
                </c:pt>
              </c:numCache>
            </c:numRef>
          </c:val>
          <c:extLst>
            <c:ext xmlns:c16="http://schemas.microsoft.com/office/drawing/2014/chart" uri="{C3380CC4-5D6E-409C-BE32-E72D297353CC}">
              <c16:uniqueId val="{0000001A-6F46-42F8-9A1E-676433429E93}"/>
            </c:ext>
          </c:extLst>
        </c:ser>
        <c:ser>
          <c:idx val="7"/>
          <c:order val="7"/>
          <c:tx>
            <c:strRef>
              <c:f>'CATAGORY WISE PLANTS'!$I$1:$I$2</c:f>
              <c:strCache>
                <c:ptCount val="1"/>
                <c:pt idx="0">
                  <c:v>Palm</c:v>
                </c:pt>
              </c:strCache>
            </c:strRef>
          </c:tx>
          <c:spPr>
            <a:solidFill>
              <a:schemeClr val="accent2">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PLANTS'!$I$3:$I$8</c:f>
              <c:numCache>
                <c:formatCode>General</c:formatCode>
                <c:ptCount val="5"/>
                <c:pt idx="0">
                  <c:v>8</c:v>
                </c:pt>
                <c:pt idx="2">
                  <c:v>12</c:v>
                </c:pt>
                <c:pt idx="3">
                  <c:v>8</c:v>
                </c:pt>
                <c:pt idx="4">
                  <c:v>6</c:v>
                </c:pt>
              </c:numCache>
            </c:numRef>
          </c:val>
          <c:extLst>
            <c:ext xmlns:c16="http://schemas.microsoft.com/office/drawing/2014/chart" uri="{C3380CC4-5D6E-409C-BE32-E72D297353CC}">
              <c16:uniqueId val="{0000001B-6F46-42F8-9A1E-676433429E93}"/>
            </c:ext>
          </c:extLst>
        </c:ser>
        <c:ser>
          <c:idx val="8"/>
          <c:order val="8"/>
          <c:tx>
            <c:strRef>
              <c:f>'CATAGORY WISE PLANTS'!$J$1:$J$2</c:f>
              <c:strCache>
                <c:ptCount val="1"/>
                <c:pt idx="0">
                  <c:v>Rose</c:v>
                </c:pt>
              </c:strCache>
            </c:strRef>
          </c:tx>
          <c:spPr>
            <a:solidFill>
              <a:schemeClr val="accent3">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PLANTS'!$J$3:$J$8</c:f>
              <c:numCache>
                <c:formatCode>General</c:formatCode>
                <c:ptCount val="5"/>
                <c:pt idx="0">
                  <c:v>11</c:v>
                </c:pt>
                <c:pt idx="1">
                  <c:v>16</c:v>
                </c:pt>
                <c:pt idx="2">
                  <c:v>11</c:v>
                </c:pt>
                <c:pt idx="3">
                  <c:v>10</c:v>
                </c:pt>
                <c:pt idx="4">
                  <c:v>6</c:v>
                </c:pt>
              </c:numCache>
            </c:numRef>
          </c:val>
          <c:extLst>
            <c:ext xmlns:c16="http://schemas.microsoft.com/office/drawing/2014/chart" uri="{C3380CC4-5D6E-409C-BE32-E72D297353CC}">
              <c16:uniqueId val="{0000001C-6F46-42F8-9A1E-676433429E93}"/>
            </c:ext>
          </c:extLst>
        </c:ser>
        <c:ser>
          <c:idx val="9"/>
          <c:order val="9"/>
          <c:tx>
            <c:strRef>
              <c:f>'CATAGORY WISE PLANTS'!$K$1:$K$2</c:f>
              <c:strCache>
                <c:ptCount val="1"/>
                <c:pt idx="0">
                  <c:v>Tulip</c:v>
                </c:pt>
              </c:strCache>
            </c:strRef>
          </c:tx>
          <c:spPr>
            <a:solidFill>
              <a:schemeClr val="accent4">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PLANTS'!$K$3:$K$8</c:f>
              <c:numCache>
                <c:formatCode>General</c:formatCode>
                <c:ptCount val="5"/>
                <c:pt idx="0">
                  <c:v>10</c:v>
                </c:pt>
                <c:pt idx="1">
                  <c:v>11</c:v>
                </c:pt>
                <c:pt idx="2">
                  <c:v>11</c:v>
                </c:pt>
                <c:pt idx="3">
                  <c:v>6</c:v>
                </c:pt>
                <c:pt idx="4">
                  <c:v>13</c:v>
                </c:pt>
              </c:numCache>
            </c:numRef>
          </c:val>
          <c:extLst>
            <c:ext xmlns:c16="http://schemas.microsoft.com/office/drawing/2014/chart" uri="{C3380CC4-5D6E-409C-BE32-E72D297353CC}">
              <c16:uniqueId val="{0000001D-6F46-42F8-9A1E-676433429E93}"/>
            </c:ext>
          </c:extLst>
        </c:ser>
        <c:dLbls>
          <c:showLegendKey val="0"/>
          <c:showVal val="0"/>
          <c:showCatName val="0"/>
          <c:showSerName val="0"/>
          <c:showPercent val="0"/>
          <c:showBubbleSize val="0"/>
        </c:dLbls>
        <c:gapWidth val="219"/>
        <c:axId val="1327616479"/>
        <c:axId val="1327738927"/>
      </c:barChart>
      <c:catAx>
        <c:axId val="132761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38927"/>
        <c:crosses val="autoZero"/>
        <c:auto val="1"/>
        <c:lblAlgn val="ctr"/>
        <c:lblOffset val="100"/>
        <c:noMultiLvlLbl val="0"/>
      </c:catAx>
      <c:valAx>
        <c:axId val="1327738927"/>
        <c:scaling>
          <c:orientation val="minMax"/>
        </c:scaling>
        <c:delete val="1"/>
        <c:axPos val="l"/>
        <c:numFmt formatCode="General" sourceLinked="1"/>
        <c:majorTickMark val="none"/>
        <c:minorTickMark val="none"/>
        <c:tickLblPos val="nextTo"/>
        <c:crossAx val="132761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[Plants_data.xlsx]CATAGORY WISE REVENUE!PivotTable9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6148534558180225"/>
          <c:y val="0.16006707494896469"/>
          <c:w val="0.44369597550306211"/>
          <c:h val="0.73949329250510354"/>
        </c:manualLayout>
      </c:layout>
      <c:doughnutChart>
        <c:varyColors val="1"/>
        <c:ser>
          <c:idx val="0"/>
          <c:order val="0"/>
          <c:tx>
            <c:strRef>
              <c:f>'CATAGORY WISE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F0-41DD-BC56-3D0EF42659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F0-41DD-BC56-3D0EF42659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F0-41DD-BC56-3D0EF42659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F0-41DD-BC56-3D0EF42659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F0-41DD-BC56-3D0EF42659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'CATAGORY WISE REVENUE'!$A$4:$A$9</c:f>
              <c:strCache>
                <c:ptCount val="5"/>
                <c:pt idx="0">
                  <c:v>Flower</c:v>
                </c:pt>
                <c:pt idx="1">
                  <c:v>Indoor</c:v>
                </c:pt>
                <c:pt idx="2">
                  <c:v>Medicinal</c:v>
                </c:pt>
                <c:pt idx="3">
                  <c:v>Outdoor</c:v>
                </c:pt>
                <c:pt idx="4">
                  <c:v>Succulent</c:v>
                </c:pt>
              </c:strCache>
            </c:strRef>
          </c:cat>
          <c:val>
            <c:numRef>
              <c:f>'CATAGORY WISE REVENUE'!$B$4:$B$9</c:f>
              <c:numCache>
                <c:formatCode>0.00%</c:formatCode>
                <c:ptCount val="5"/>
                <c:pt idx="0">
                  <c:v>0.2193677986567685</c:v>
                </c:pt>
                <c:pt idx="1">
                  <c:v>0.14738224541014605</c:v>
                </c:pt>
                <c:pt idx="2">
                  <c:v>0.2466823908609416</c:v>
                </c:pt>
                <c:pt idx="3">
                  <c:v>0.18978570888976556</c:v>
                </c:pt>
                <c:pt idx="4">
                  <c:v>0.19678185618237828</c:v>
                </c:pt>
              </c:numCache>
            </c:numRef>
          </c:val>
          <c:extLst>
            <c:ext xmlns:c16="http://schemas.microsoft.com/office/drawing/2014/chart" uri="{C3380CC4-5D6E-409C-BE32-E72D297353CC}">
              <c16:uniqueId val="{00000000-8237-4147-8303-83A8DEB3870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[Plants_data.xlsx]REVENUE BY NURSERY &amp; PLANTS!PivotTable6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NURSERY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21972534332081E-3"/>
          <c:y val="0.16712962962962963"/>
          <c:w val="0.93133583021223476"/>
          <c:h val="0.73111111111111116"/>
        </c:manualLayout>
      </c:layout>
      <c:barChart>
        <c:barDir val="col"/>
        <c:grouping val="clustered"/>
        <c:varyColors val="0"/>
        <c:ser>
          <c:idx val="0"/>
          <c:order val="0"/>
          <c:tx>
            <c:strRef>
              <c:f>'REVENUE BY NURSERY &amp; PLANTS'!$B$3</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2301-4839-9418-64E14564426C}"/>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4-2301-4839-9418-64E14564426C}"/>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6-2301-4839-9418-64E14564426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2301-4839-9418-64E14564426C}"/>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3-2301-4839-9418-64E14564426C}"/>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01-4839-9418-64E14564426C}"/>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01-4839-9418-64E14564426C}"/>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01-4839-9418-64E14564426C}"/>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01-4839-9418-64E14564426C}"/>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01-4839-9418-64E1456442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NURSERY &amp; PLANTS'!$A$4:$A$9</c:f>
              <c:strCache>
                <c:ptCount val="5"/>
                <c:pt idx="0">
                  <c:v>NatureNest</c:v>
                </c:pt>
                <c:pt idx="1">
                  <c:v>PlantHub</c:v>
                </c:pt>
                <c:pt idx="2">
                  <c:v>UrbanLeaf</c:v>
                </c:pt>
                <c:pt idx="3">
                  <c:v>EcoGarden</c:v>
                </c:pt>
                <c:pt idx="4">
                  <c:v>GreenGrow</c:v>
                </c:pt>
              </c:strCache>
            </c:strRef>
          </c:cat>
          <c:val>
            <c:numRef>
              <c:f>'REVENUE BY NURSERY &amp; PLANTS'!$B$4:$B$9</c:f>
              <c:numCache>
                <c:formatCode>General</c:formatCode>
                <c:ptCount val="5"/>
                <c:pt idx="0">
                  <c:v>838135</c:v>
                </c:pt>
                <c:pt idx="1">
                  <c:v>728345</c:v>
                </c:pt>
                <c:pt idx="2">
                  <c:v>654053</c:v>
                </c:pt>
                <c:pt idx="3">
                  <c:v>625442</c:v>
                </c:pt>
                <c:pt idx="4">
                  <c:v>489861</c:v>
                </c:pt>
              </c:numCache>
            </c:numRef>
          </c:val>
          <c:extLst>
            <c:ext xmlns:c16="http://schemas.microsoft.com/office/drawing/2014/chart" uri="{C3380CC4-5D6E-409C-BE32-E72D297353CC}">
              <c16:uniqueId val="{00000000-2301-4839-9418-64E14564426C}"/>
            </c:ext>
          </c:extLst>
        </c:ser>
        <c:dLbls>
          <c:showLegendKey val="0"/>
          <c:showVal val="0"/>
          <c:showCatName val="0"/>
          <c:showSerName val="0"/>
          <c:showPercent val="0"/>
          <c:showBubbleSize val="0"/>
        </c:dLbls>
        <c:gapWidth val="219"/>
        <c:overlap val="-27"/>
        <c:axId val="807089248"/>
        <c:axId val="1106077520"/>
      </c:barChart>
      <c:catAx>
        <c:axId val="80708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77520"/>
        <c:crosses val="autoZero"/>
        <c:auto val="1"/>
        <c:lblAlgn val="ctr"/>
        <c:lblOffset val="100"/>
        <c:noMultiLvlLbl val="0"/>
      </c:catAx>
      <c:valAx>
        <c:axId val="1106077520"/>
        <c:scaling>
          <c:orientation val="minMax"/>
        </c:scaling>
        <c:delete val="1"/>
        <c:axPos val="l"/>
        <c:numFmt formatCode="General" sourceLinked="1"/>
        <c:majorTickMark val="none"/>
        <c:minorTickMark val="none"/>
        <c:tickLblPos val="nextTo"/>
        <c:crossAx val="8070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[Plants_data.xlsx]CATAGORY WISE SALE!PivotTable10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'CATAGORY WISE SALE'!$B$3</c:f>
              <c:strCache>
                <c:ptCount val="1"/>
                <c:pt idx="0">
                  <c:v>Total</c:v>
                </c:pt>
              </c:strCache>
            </c:strRef>
          </c:tx>
          <c:spPr>
            <a:solidFill>
              <a:schemeClr val="accent1"/>
            </a:solidFill>
            <a:ln>
              <a:noFill/>
            </a:ln>
            <a:effectLst/>
          </c:spPr>
          <c:invertIfNegative val="0"/>
          <c:cat>
            <c:strRef>
              <c:f>'CATAGORY WISE SALE'!$A$4:$A$9</c:f>
              <c:strCache>
                <c:ptCount val="5"/>
                <c:pt idx="0">
                  <c:v>Medicinal</c:v>
                </c:pt>
                <c:pt idx="1">
                  <c:v>Flower</c:v>
                </c:pt>
                <c:pt idx="2">
                  <c:v>Succulent</c:v>
                </c:pt>
                <c:pt idx="3">
                  <c:v>Outdoor</c:v>
                </c:pt>
                <c:pt idx="4">
                  <c:v>Indoor</c:v>
                </c:pt>
              </c:strCache>
            </c:strRef>
          </c:cat>
          <c:val>
            <c:numRef>
              <c:f>'CATAGORY WISE SALE'!$B$4:$B$9</c:f>
              <c:numCache>
                <c:formatCode>General</c:formatCode>
                <c:ptCount val="5"/>
                <c:pt idx="0">
                  <c:v>822892</c:v>
                </c:pt>
                <c:pt idx="1">
                  <c:v>731775</c:v>
                </c:pt>
                <c:pt idx="2">
                  <c:v>656432</c:v>
                </c:pt>
                <c:pt idx="3">
                  <c:v>633094</c:v>
                </c:pt>
                <c:pt idx="4">
                  <c:v>491643</c:v>
                </c:pt>
              </c:numCache>
            </c:numRef>
          </c:val>
          <c:extLst>
            <c:ext xmlns:c16="http://schemas.microsoft.com/office/drawing/2014/chart" uri="{C3380CC4-5D6E-409C-BE32-E72D297353CC}">
              <c16:uniqueId val="{00000000-A96C-4466-91EA-1D658AECBB0A}"/>
            </c:ext>
          </c:extLst>
        </c:ser>
        <c:dLbls>
          <c:showLegendKey val="0"/>
          <c:showVal val="0"/>
          <c:showCatName val="0"/>
          <c:showSerName val="0"/>
          <c:showPercent val="0"/>
          <c:showBubbleSize val="0"/>
        </c:dLbls>
        <c:gapWidth val="182"/>
        <c:axId val="806924528"/>
        <c:axId val="822203312"/>
      </c:barChart>
      <c:catAx>
        <c:axId val="80692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03312"/>
        <c:crosses val="autoZero"/>
        <c:auto val="1"/>
        <c:lblAlgn val="ctr"/>
        <c:lblOffset val="100"/>
        <c:noMultiLvlLbl val="0"/>
      </c:catAx>
      <c:valAx>
        <c:axId val="82220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[Plants_data.xlsx]CATAGORY WISE SALE!PivotTable1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CATEGORY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9135372501514234"/>
          <c:y val="0.22389369538684212"/>
          <c:w val="0.42312739753684636"/>
          <c:h val="0.700660488426601"/>
        </c:manualLayout>
      </c:layout>
      <c:doughnutChart>
        <c:varyColors val="1"/>
        <c:ser>
          <c:idx val="0"/>
          <c:order val="0"/>
          <c:tx>
            <c:strRef>
              <c:f>'CATAGORY WISE SALE'!$F$4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97-4A24-84B1-B8DE627502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97-4A24-84B1-B8DE627502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97-4A24-84B1-B8DE627502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97-4A24-84B1-B8DE627502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97-4A24-84B1-B8DE627502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'CATAGORY WISE SALE'!$E$5:$E$10</c:f>
              <c:strCache>
                <c:ptCount val="5"/>
                <c:pt idx="0">
                  <c:v>Flower</c:v>
                </c:pt>
                <c:pt idx="1">
                  <c:v>Indoor</c:v>
                </c:pt>
                <c:pt idx="2">
                  <c:v>Medicinal</c:v>
                </c:pt>
                <c:pt idx="3">
                  <c:v>Outdoor</c:v>
                </c:pt>
                <c:pt idx="4">
                  <c:v>Succulent</c:v>
                </c:pt>
              </c:strCache>
            </c:strRef>
          </c:cat>
          <c:val>
            <c:numRef>
              <c:f>'CATAGORY WISE SALE'!$F$5:$F$10</c:f>
              <c:numCache>
                <c:formatCode>0.00%</c:formatCode>
                <c:ptCount val="5"/>
                <c:pt idx="0">
                  <c:v>0.21325557569548428</c:v>
                </c:pt>
                <c:pt idx="1">
                  <c:v>0.1501300338876192</c:v>
                </c:pt>
                <c:pt idx="2">
                  <c:v>0.24998029789581527</c:v>
                </c:pt>
                <c:pt idx="3">
                  <c:v>0.18322956891796044</c:v>
                </c:pt>
                <c:pt idx="4">
                  <c:v>0.20340452360312081</c:v>
                </c:pt>
              </c:numCache>
            </c:numRef>
          </c:val>
          <c:extLst>
            <c:ext xmlns:c16="http://schemas.microsoft.com/office/drawing/2014/chart" uri="{C3380CC4-5D6E-409C-BE32-E72D297353CC}">
              <c16:uniqueId val="{00000000-32BB-4263-8955-3E7301E4D33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[Plants_data.xlsx]LOCATION WISE PLANTS!PivotTable5</c:name>
    <c:fmtId val="7"/>
  </c:pivotSource>
  <c:chart>
    <c:title>
      <c:tx>
        <c:rich>
          <a:bodyPr rot="0" spcFirstLastPara="1" vertOverflow="ellipsis" vert="horz" wrap="square" anchor="ctr" anchorCtr="1"/>
          <a:lstStyle/>
          <a:p>
            <a:pPr>
              <a:defRPr sz="1400" b="1" i="0" u="none" strike="noStrike" kern="1200" spc="0" baseline="0">
                <a:solidFill>
                  <a:srgbClr val="C00000"/>
                </a:solidFill>
                <a:latin typeface="+mj-lt"/>
                <a:ea typeface="+mn-ea"/>
                <a:cs typeface="+mn-cs"/>
              </a:defRPr>
            </a:pPr>
            <a:r>
              <a:rPr lang="en-US" b="1">
                <a:solidFill>
                  <a:srgbClr val="C00000"/>
                </a:solidFill>
                <a:latin typeface="+mj-lt"/>
              </a:rPr>
              <a:t>LOCATION WISE PLANTS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67092445322803E-2"/>
          <c:y val="0.11620370370370373"/>
          <c:w val="0.81199083618255652"/>
          <c:h val="0.75066061560946684"/>
        </c:manualLayout>
      </c:layout>
      <c:barChart>
        <c:barDir val="col"/>
        <c:grouping val="clustered"/>
        <c:varyColors val="0"/>
        <c:ser>
          <c:idx val="0"/>
          <c:order val="0"/>
          <c:tx>
            <c:strRef>
              <c:f>'LOCATION WISE PLANTS'!$B$1:$B$2</c:f>
              <c:strCache>
                <c:ptCount val="1"/>
                <c:pt idx="0">
                  <c:v>Aloe</c:v>
                </c:pt>
              </c:strCache>
            </c:strRef>
          </c:tx>
          <c:spPr>
            <a:solidFill>
              <a:schemeClr val="accent1"/>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PLANTS'!$B$3:$B$9</c:f>
              <c:numCache>
                <c:formatCode>General</c:formatCode>
                <c:ptCount val="6"/>
                <c:pt idx="0">
                  <c:v>11</c:v>
                </c:pt>
                <c:pt idx="1">
                  <c:v>7</c:v>
                </c:pt>
                <c:pt idx="2">
                  <c:v>12</c:v>
                </c:pt>
                <c:pt idx="3">
                  <c:v>8</c:v>
                </c:pt>
                <c:pt idx="4">
                  <c:v>1</c:v>
                </c:pt>
                <c:pt idx="5">
                  <c:v>13</c:v>
                </c:pt>
              </c:numCache>
            </c:numRef>
          </c:val>
          <c:extLst>
            <c:ext xmlns:c16="http://schemas.microsoft.com/office/drawing/2014/chart" uri="{C3380CC4-5D6E-409C-BE32-E72D297353CC}">
              <c16:uniqueId val="{00000000-ECE3-4803-8953-02F4D8194E09}"/>
            </c:ext>
          </c:extLst>
        </c:ser>
        <c:ser>
          <c:idx val="1"/>
          <c:order val="1"/>
          <c:tx>
            <c:strRef>
              <c:f>'LOCATION WISE PLANTS'!$C$1:$C$2</c:f>
              <c:strCache>
                <c:ptCount val="1"/>
                <c:pt idx="0">
                  <c:v>Bamboo</c:v>
                </c:pt>
              </c:strCache>
            </c:strRef>
          </c:tx>
          <c:spPr>
            <a:solidFill>
              <a:schemeClr val="accent2"/>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PLANTS'!$C$3:$C$9</c:f>
              <c:numCache>
                <c:formatCode>General</c:formatCode>
                <c:ptCount val="6"/>
                <c:pt idx="0">
                  <c:v>3</c:v>
                </c:pt>
                <c:pt idx="1">
                  <c:v>5</c:v>
                </c:pt>
                <c:pt idx="2">
                  <c:v>7</c:v>
                </c:pt>
                <c:pt idx="3">
                  <c:v>3</c:v>
                </c:pt>
                <c:pt idx="4">
                  <c:v>11</c:v>
                </c:pt>
                <c:pt idx="5">
                  <c:v>24</c:v>
                </c:pt>
              </c:numCache>
            </c:numRef>
          </c:val>
          <c:extLst>
            <c:ext xmlns:c16="http://schemas.microsoft.com/office/drawing/2014/chart" uri="{C3380CC4-5D6E-409C-BE32-E72D297353CC}">
              <c16:uniqueId val="{00000016-B9C3-4FB7-8491-ADF922DD5C57}"/>
            </c:ext>
          </c:extLst>
        </c:ser>
        <c:ser>
          <c:idx val="2"/>
          <c:order val="2"/>
          <c:tx>
            <c:strRef>
              <c:f>'LOCATION WISE PLANTS'!$D$1:$D$2</c:f>
              <c:strCache>
                <c:ptCount val="1"/>
                <c:pt idx="0">
                  <c:v>Cactus</c:v>
                </c:pt>
              </c:strCache>
            </c:strRef>
          </c:tx>
          <c:spPr>
            <a:solidFill>
              <a:schemeClr val="accent3"/>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PLANTS'!$D$3:$D$9</c:f>
              <c:numCache>
                <c:formatCode>General</c:formatCode>
                <c:ptCount val="6"/>
                <c:pt idx="0">
                  <c:v>3</c:v>
                </c:pt>
                <c:pt idx="1">
                  <c:v>6</c:v>
                </c:pt>
                <c:pt idx="2">
                  <c:v>7</c:v>
                </c:pt>
                <c:pt idx="3">
                  <c:v>5</c:v>
                </c:pt>
                <c:pt idx="4">
                  <c:v>7</c:v>
                </c:pt>
                <c:pt idx="5">
                  <c:v>29</c:v>
                </c:pt>
              </c:numCache>
            </c:numRef>
          </c:val>
          <c:extLst>
            <c:ext xmlns:c16="http://schemas.microsoft.com/office/drawing/2014/chart" uri="{C3380CC4-5D6E-409C-BE32-E72D297353CC}">
              <c16:uniqueId val="{00000017-B9C3-4FB7-8491-ADF922DD5C57}"/>
            </c:ext>
          </c:extLst>
        </c:ser>
        <c:ser>
          <c:idx val="3"/>
          <c:order val="3"/>
          <c:tx>
            <c:strRef>
              <c:f>'LOCATION WISE PLANTS'!$E$1:$E$2</c:f>
              <c:strCache>
                <c:ptCount val="1"/>
                <c:pt idx="0">
                  <c:v>Fern</c:v>
                </c:pt>
              </c:strCache>
            </c:strRef>
          </c:tx>
          <c:spPr>
            <a:solidFill>
              <a:schemeClr val="accent4"/>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PLANTS'!$E$3:$E$9</c:f>
              <c:numCache>
                <c:formatCode>General</c:formatCode>
                <c:ptCount val="6"/>
                <c:pt idx="0">
                  <c:v>4</c:v>
                </c:pt>
                <c:pt idx="1">
                  <c:v>2</c:v>
                </c:pt>
                <c:pt idx="2">
                  <c:v>7</c:v>
                </c:pt>
                <c:pt idx="3">
                  <c:v>4</c:v>
                </c:pt>
                <c:pt idx="4">
                  <c:v>15</c:v>
                </c:pt>
                <c:pt idx="5">
                  <c:v>16</c:v>
                </c:pt>
              </c:numCache>
            </c:numRef>
          </c:val>
          <c:extLst>
            <c:ext xmlns:c16="http://schemas.microsoft.com/office/drawing/2014/chart" uri="{C3380CC4-5D6E-409C-BE32-E72D297353CC}">
              <c16:uniqueId val="{00000018-B9C3-4FB7-8491-ADF922DD5C57}"/>
            </c:ext>
          </c:extLst>
        </c:ser>
        <c:ser>
          <c:idx val="4"/>
          <c:order val="4"/>
          <c:tx>
            <c:strRef>
              <c:f>'LOCATION WISE PLANTS'!$F$1:$F$2</c:f>
              <c:strCache>
                <c:ptCount val="1"/>
                <c:pt idx="0">
                  <c:v>Jasmine</c:v>
                </c:pt>
              </c:strCache>
            </c:strRef>
          </c:tx>
          <c:spPr>
            <a:solidFill>
              <a:schemeClr val="accent5"/>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PLANTS'!$F$3:$F$9</c:f>
              <c:numCache>
                <c:formatCode>General</c:formatCode>
                <c:ptCount val="6"/>
                <c:pt idx="0">
                  <c:v>7</c:v>
                </c:pt>
                <c:pt idx="1">
                  <c:v>9</c:v>
                </c:pt>
                <c:pt idx="2">
                  <c:v>4</c:v>
                </c:pt>
                <c:pt idx="3">
                  <c:v>9</c:v>
                </c:pt>
                <c:pt idx="4">
                  <c:v>6</c:v>
                </c:pt>
                <c:pt idx="5">
                  <c:v>24</c:v>
                </c:pt>
              </c:numCache>
            </c:numRef>
          </c:val>
          <c:extLst>
            <c:ext xmlns:c16="http://schemas.microsoft.com/office/drawing/2014/chart" uri="{C3380CC4-5D6E-409C-BE32-E72D297353CC}">
              <c16:uniqueId val="{00000019-B9C3-4FB7-8491-ADF922DD5C57}"/>
            </c:ext>
          </c:extLst>
        </c:ser>
        <c:ser>
          <c:idx val="5"/>
          <c:order val="5"/>
          <c:tx>
            <c:strRef>
              <c:f>'LOCATION WISE PLANTS'!$G$1:$G$2</c:f>
              <c:strCache>
                <c:ptCount val="1"/>
                <c:pt idx="0">
                  <c:v>Lily</c:v>
                </c:pt>
              </c:strCache>
            </c:strRef>
          </c:tx>
          <c:spPr>
            <a:solidFill>
              <a:schemeClr val="accent6"/>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PLANTS'!$G$3:$G$9</c:f>
              <c:numCache>
                <c:formatCode>General</c:formatCode>
                <c:ptCount val="6"/>
                <c:pt idx="0">
                  <c:v>7</c:v>
                </c:pt>
                <c:pt idx="1">
                  <c:v>9</c:v>
                </c:pt>
                <c:pt idx="2">
                  <c:v>14</c:v>
                </c:pt>
                <c:pt idx="3">
                  <c:v>5</c:v>
                </c:pt>
                <c:pt idx="4">
                  <c:v>4</c:v>
                </c:pt>
                <c:pt idx="5">
                  <c:v>15</c:v>
                </c:pt>
              </c:numCache>
            </c:numRef>
          </c:val>
          <c:extLst>
            <c:ext xmlns:c16="http://schemas.microsoft.com/office/drawing/2014/chart" uri="{C3380CC4-5D6E-409C-BE32-E72D297353CC}">
              <c16:uniqueId val="{0000001A-B9C3-4FB7-8491-ADF922DD5C57}"/>
            </c:ext>
          </c:extLst>
        </c:ser>
        <c:ser>
          <c:idx val="6"/>
          <c:order val="6"/>
          <c:tx>
            <c:strRef>
              <c:f>'LOCATION WISE PLANTS'!$H$1:$H$2</c:f>
              <c:strCache>
                <c:ptCount val="1"/>
                <c:pt idx="0">
                  <c:v>Orchid</c:v>
                </c:pt>
              </c:strCache>
            </c:strRef>
          </c:tx>
          <c:spPr>
            <a:solidFill>
              <a:schemeClr val="accent1">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PLANTS'!$H$3:$H$9</c:f>
              <c:numCache>
                <c:formatCode>General</c:formatCode>
                <c:ptCount val="6"/>
                <c:pt idx="0">
                  <c:v>5</c:v>
                </c:pt>
                <c:pt idx="1">
                  <c:v>5</c:v>
                </c:pt>
                <c:pt idx="2">
                  <c:v>6</c:v>
                </c:pt>
                <c:pt idx="3">
                  <c:v>4</c:v>
                </c:pt>
                <c:pt idx="4">
                  <c:v>8</c:v>
                </c:pt>
                <c:pt idx="5">
                  <c:v>10</c:v>
                </c:pt>
              </c:numCache>
            </c:numRef>
          </c:val>
          <c:extLst>
            <c:ext xmlns:c16="http://schemas.microsoft.com/office/drawing/2014/chart" uri="{C3380CC4-5D6E-409C-BE32-E72D297353CC}">
              <c16:uniqueId val="{0000001B-B9C3-4FB7-8491-ADF922DD5C57}"/>
            </c:ext>
          </c:extLst>
        </c:ser>
        <c:ser>
          <c:idx val="7"/>
          <c:order val="7"/>
          <c:tx>
            <c:strRef>
              <c:f>'LOCATION WISE PLANTS'!$I$1:$I$2</c:f>
              <c:strCache>
                <c:ptCount val="1"/>
                <c:pt idx="0">
                  <c:v>Palm</c:v>
                </c:pt>
              </c:strCache>
            </c:strRef>
          </c:tx>
          <c:spPr>
            <a:solidFill>
              <a:schemeClr val="accent2">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PLANTS'!$I$3:$I$9</c:f>
              <c:numCache>
                <c:formatCode>General</c:formatCode>
                <c:ptCount val="6"/>
                <c:pt idx="0">
                  <c:v>5</c:v>
                </c:pt>
                <c:pt idx="1">
                  <c:v>6</c:v>
                </c:pt>
                <c:pt idx="2">
                  <c:v>1</c:v>
                </c:pt>
                <c:pt idx="3">
                  <c:v>8</c:v>
                </c:pt>
                <c:pt idx="4">
                  <c:v>6</c:v>
                </c:pt>
                <c:pt idx="5">
                  <c:v>8</c:v>
                </c:pt>
              </c:numCache>
            </c:numRef>
          </c:val>
          <c:extLst>
            <c:ext xmlns:c16="http://schemas.microsoft.com/office/drawing/2014/chart" uri="{C3380CC4-5D6E-409C-BE32-E72D297353CC}">
              <c16:uniqueId val="{0000001C-B9C3-4FB7-8491-ADF922DD5C57}"/>
            </c:ext>
          </c:extLst>
        </c:ser>
        <c:ser>
          <c:idx val="8"/>
          <c:order val="8"/>
          <c:tx>
            <c:strRef>
              <c:f>'LOCATION WISE PLANTS'!$J$1:$J$2</c:f>
              <c:strCache>
                <c:ptCount val="1"/>
                <c:pt idx="0">
                  <c:v>Rose</c:v>
                </c:pt>
              </c:strCache>
            </c:strRef>
          </c:tx>
          <c:spPr>
            <a:solidFill>
              <a:schemeClr val="accent3">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PLANTS'!$J$3:$J$9</c:f>
              <c:numCache>
                <c:formatCode>General</c:formatCode>
                <c:ptCount val="6"/>
                <c:pt idx="0">
                  <c:v>3</c:v>
                </c:pt>
                <c:pt idx="1">
                  <c:v>7</c:v>
                </c:pt>
                <c:pt idx="2">
                  <c:v>9</c:v>
                </c:pt>
                <c:pt idx="3">
                  <c:v>3</c:v>
                </c:pt>
                <c:pt idx="4">
                  <c:v>9</c:v>
                </c:pt>
                <c:pt idx="5">
                  <c:v>23</c:v>
                </c:pt>
              </c:numCache>
            </c:numRef>
          </c:val>
          <c:extLst>
            <c:ext xmlns:c16="http://schemas.microsoft.com/office/drawing/2014/chart" uri="{C3380CC4-5D6E-409C-BE32-E72D297353CC}">
              <c16:uniqueId val="{0000001D-B9C3-4FB7-8491-ADF922DD5C57}"/>
            </c:ext>
          </c:extLst>
        </c:ser>
        <c:ser>
          <c:idx val="9"/>
          <c:order val="9"/>
          <c:tx>
            <c:strRef>
              <c:f>'LOCATION WISE PLANTS'!$K$1:$K$2</c:f>
              <c:strCache>
                <c:ptCount val="1"/>
                <c:pt idx="0">
                  <c:v>Tulip</c:v>
                </c:pt>
              </c:strCache>
            </c:strRef>
          </c:tx>
          <c:spPr>
            <a:solidFill>
              <a:schemeClr val="accent4">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PLANTS'!$K$3:$K$9</c:f>
              <c:numCache>
                <c:formatCode>General</c:formatCode>
                <c:ptCount val="6"/>
                <c:pt idx="1">
                  <c:v>3</c:v>
                </c:pt>
                <c:pt idx="2">
                  <c:v>10</c:v>
                </c:pt>
                <c:pt idx="3">
                  <c:v>8</c:v>
                </c:pt>
                <c:pt idx="4">
                  <c:v>12</c:v>
                </c:pt>
                <c:pt idx="5">
                  <c:v>18</c:v>
                </c:pt>
              </c:numCache>
            </c:numRef>
          </c:val>
          <c:extLst>
            <c:ext xmlns:c16="http://schemas.microsoft.com/office/drawing/2014/chart" uri="{C3380CC4-5D6E-409C-BE32-E72D297353CC}">
              <c16:uniqueId val="{0000001E-B9C3-4FB7-8491-ADF922DD5C57}"/>
            </c:ext>
          </c:extLst>
        </c:ser>
        <c:dLbls>
          <c:showLegendKey val="0"/>
          <c:showVal val="0"/>
          <c:showCatName val="0"/>
          <c:showSerName val="0"/>
          <c:showPercent val="0"/>
          <c:showBubbleSize val="0"/>
        </c:dLbls>
        <c:gapWidth val="219"/>
        <c:overlap val="-27"/>
        <c:axId val="1107266607"/>
        <c:axId val="989199887"/>
      </c:barChart>
      <c:catAx>
        <c:axId val="110726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99887"/>
        <c:crosses val="autoZero"/>
        <c:auto val="1"/>
        <c:lblAlgn val="ctr"/>
        <c:lblOffset val="100"/>
        <c:noMultiLvlLbl val="0"/>
      </c:catAx>
      <c:valAx>
        <c:axId val="989199887"/>
        <c:scaling>
          <c:orientation val="minMax"/>
        </c:scaling>
        <c:delete val="1"/>
        <c:axPos val="l"/>
        <c:numFmt formatCode="General" sourceLinked="1"/>
        <c:majorTickMark val="none"/>
        <c:minorTickMark val="none"/>
        <c:tickLblPos val="nextTo"/>
        <c:crossAx val="110726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[Plants_data.xlsx]UNITS SOLD BY NURSERY!PivotTable6</c:name>
    <c:fmtId val="7"/>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b="1">
                <a:solidFill>
                  <a:srgbClr val="C00000"/>
                </a:solidFill>
              </a:rPr>
              <a:t>UNITS SOLD BY NURSERY</a:t>
            </a:r>
          </a:p>
        </c:rich>
      </c:tx>
      <c:layout>
        <c:manualLayout>
          <c:xMode val="edge"/>
          <c:yMode val="edge"/>
          <c:x val="0.21414304247858088"/>
          <c:y val="6.476302770347452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05511811023623"/>
          <c:y val="0.15108123934707365"/>
          <c:w val="0.33978807435462971"/>
          <c:h val="0.81964146180200759"/>
        </c:manualLayout>
      </c:layout>
      <c:pieChart>
        <c:varyColors val="1"/>
        <c:ser>
          <c:idx val="0"/>
          <c:order val="0"/>
          <c:tx>
            <c:strRef>
              <c:f>'UNITS SOLD BY NURSERY'!$B$3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62-4CA1-9AD6-405DD9FA9B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62-4CA1-9AD6-405DD9FA9B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62-4CA1-9AD6-405DD9FA9B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62-4CA1-9AD6-405DD9FA9B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62-4CA1-9AD6-405DD9FA9BD2}"/>
              </c:ext>
            </c:extLst>
          </c:dPt>
          <c:dLbls>
            <c:dLbl>
              <c:idx val="0"/>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62-4CA1-9AD6-405DD9FA9BD2}"/>
                </c:ext>
              </c:extLst>
            </c:dLbl>
            <c:dLbl>
              <c:idx val="1"/>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62-4CA1-9AD6-405DD9FA9BD2}"/>
                </c:ext>
              </c:extLst>
            </c:dLbl>
            <c:dLbl>
              <c:idx val="2"/>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62-4CA1-9AD6-405DD9FA9BD2}"/>
                </c:ext>
              </c:extLst>
            </c:dLbl>
            <c:dLbl>
              <c:idx val="4"/>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62-4CA1-9AD6-405DD9FA9B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'UNITS SOLD BY NURSERY'!$A$4:$A$9</c:f>
              <c:strCache>
                <c:ptCount val="5"/>
                <c:pt idx="0">
                  <c:v>EcoGarden</c:v>
                </c:pt>
                <c:pt idx="1">
                  <c:v>GreenGrow</c:v>
                </c:pt>
                <c:pt idx="2">
                  <c:v>NatureNest</c:v>
                </c:pt>
                <c:pt idx="3">
                  <c:v>PlantHub</c:v>
                </c:pt>
                <c:pt idx="4">
                  <c:v>UrbanLeaf</c:v>
                </c:pt>
              </c:strCache>
            </c:strRef>
          </c:cat>
          <c:val>
            <c:numRef>
              <c:f>'UNITS SOLD BY NURSERY'!$B$4:$B$9</c:f>
              <c:numCache>
                <c:formatCode>0.00%</c:formatCode>
                <c:ptCount val="5"/>
                <c:pt idx="0">
                  <c:v>0.20064622901725904</c:v>
                </c:pt>
                <c:pt idx="1">
                  <c:v>0.1420127669635117</c:v>
                </c:pt>
                <c:pt idx="2">
                  <c:v>0.22570730554023169</c:v>
                </c:pt>
                <c:pt idx="3">
                  <c:v>0.23421861454803372</c:v>
                </c:pt>
                <c:pt idx="4">
                  <c:v>0.19741508393096383</c:v>
                </c:pt>
              </c:numCache>
            </c:numRef>
          </c:val>
          <c:extLst>
            <c:ext xmlns:c16="http://schemas.microsoft.com/office/drawing/2014/chart" uri="{C3380CC4-5D6E-409C-BE32-E72D297353CC}">
              <c16:uniqueId val="{0000000A-5E62-4CA1-9AD6-405DD9FA9BD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[Plants_data.xlsx]CATAGORY WISE PLANTS!PivotTable8</c:name>
    <c:fmtId val="6"/>
  </c:pivotSource>
  <c:chart>
    <c:title>
      <c:tx>
        <c:rich>
          <a:bodyPr rot="0" spcFirstLastPara="1" vertOverflow="ellipsis" vert="horz" wrap="square" anchor="ctr" anchorCtr="1"/>
          <a:lstStyle/>
          <a:p>
            <a:pPr>
              <a:defRPr sz="1400" b="1" i="0" u="none" strike="noStrike" kern="1200" spc="0" baseline="0">
                <a:solidFill>
                  <a:srgbClr val="C00000"/>
                </a:solidFill>
                <a:latin typeface="+mj-lt"/>
                <a:ea typeface="+mn-ea"/>
                <a:cs typeface="+mn-cs"/>
              </a:defRPr>
            </a:pPr>
            <a:r>
              <a:rPr lang="en-US" b="1">
                <a:solidFill>
                  <a:srgbClr val="C00000"/>
                </a:solidFill>
                <a:latin typeface="+mj-lt"/>
              </a:rPr>
              <a:t>CATEGORY WISE PLANTS</a:t>
            </a:r>
          </a:p>
        </c:rich>
      </c:tx>
      <c:layout>
        <c:manualLayout>
          <c:xMode val="edge"/>
          <c:yMode val="edge"/>
          <c:x val="0.20321096683742179"/>
          <c:y val="9.9841018127149318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41215904693557E-2"/>
          <c:y val="0.16098333704293108"/>
          <c:w val="0.87450030733414164"/>
          <c:h val="0.72931326262559271"/>
        </c:manualLayout>
      </c:layout>
      <c:barChart>
        <c:barDir val="col"/>
        <c:grouping val="percentStacked"/>
        <c:varyColors val="0"/>
        <c:ser>
          <c:idx val="0"/>
          <c:order val="0"/>
          <c:tx>
            <c:strRef>
              <c:f>'CATAGORY WISE PLANTS'!$B$1:$B$2</c:f>
              <c:strCache>
                <c:ptCount val="1"/>
                <c:pt idx="0">
                  <c:v>Aloe</c:v>
                </c:pt>
              </c:strCache>
            </c:strRef>
          </c:tx>
          <c:spPr>
            <a:solidFill>
              <a:schemeClr val="accent1"/>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PLANTS'!$B$3:$B$8</c:f>
              <c:numCache>
                <c:formatCode>General</c:formatCode>
                <c:ptCount val="5"/>
                <c:pt idx="0">
                  <c:v>7</c:v>
                </c:pt>
                <c:pt idx="1">
                  <c:v>2</c:v>
                </c:pt>
                <c:pt idx="2">
                  <c:v>11</c:v>
                </c:pt>
                <c:pt idx="3">
                  <c:v>15</c:v>
                </c:pt>
                <c:pt idx="4">
                  <c:v>17</c:v>
                </c:pt>
              </c:numCache>
            </c:numRef>
          </c:val>
          <c:extLst>
            <c:ext xmlns:c16="http://schemas.microsoft.com/office/drawing/2014/chart" uri="{C3380CC4-5D6E-409C-BE32-E72D297353CC}">
              <c16:uniqueId val="{00000000-2315-402C-95C2-CF8277A4632D}"/>
            </c:ext>
          </c:extLst>
        </c:ser>
        <c:ser>
          <c:idx val="1"/>
          <c:order val="1"/>
          <c:tx>
            <c:strRef>
              <c:f>'CATAGORY WISE PLANTS'!$C$1:$C$2</c:f>
              <c:strCache>
                <c:ptCount val="1"/>
                <c:pt idx="0">
                  <c:v>Bamboo</c:v>
                </c:pt>
              </c:strCache>
            </c:strRef>
          </c:tx>
          <c:spPr>
            <a:solidFill>
              <a:schemeClr val="accent2"/>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PLANTS'!$C$3:$C$8</c:f>
              <c:numCache>
                <c:formatCode>General</c:formatCode>
                <c:ptCount val="5"/>
                <c:pt idx="0">
                  <c:v>2</c:v>
                </c:pt>
                <c:pt idx="1">
                  <c:v>8</c:v>
                </c:pt>
                <c:pt idx="2">
                  <c:v>18</c:v>
                </c:pt>
                <c:pt idx="3">
                  <c:v>12</c:v>
                </c:pt>
                <c:pt idx="4">
                  <c:v>13</c:v>
                </c:pt>
              </c:numCache>
            </c:numRef>
          </c:val>
          <c:extLst>
            <c:ext xmlns:c16="http://schemas.microsoft.com/office/drawing/2014/chart" uri="{C3380CC4-5D6E-409C-BE32-E72D297353CC}">
              <c16:uniqueId val="{00000016-FF39-436D-AA74-9A7A73BE1276}"/>
            </c:ext>
          </c:extLst>
        </c:ser>
        <c:ser>
          <c:idx val="2"/>
          <c:order val="2"/>
          <c:tx>
            <c:strRef>
              <c:f>'CATAGORY WISE PLANTS'!$D$1:$D$2</c:f>
              <c:strCache>
                <c:ptCount val="1"/>
                <c:pt idx="0">
                  <c:v>Cactus</c:v>
                </c:pt>
              </c:strCache>
            </c:strRef>
          </c:tx>
          <c:spPr>
            <a:solidFill>
              <a:schemeClr val="accent3"/>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PLANTS'!$D$3:$D$8</c:f>
              <c:numCache>
                <c:formatCode>General</c:formatCode>
                <c:ptCount val="5"/>
                <c:pt idx="0">
                  <c:v>15</c:v>
                </c:pt>
                <c:pt idx="1">
                  <c:v>8</c:v>
                </c:pt>
                <c:pt idx="2">
                  <c:v>20</c:v>
                </c:pt>
                <c:pt idx="3">
                  <c:v>6</c:v>
                </c:pt>
                <c:pt idx="4">
                  <c:v>8</c:v>
                </c:pt>
              </c:numCache>
            </c:numRef>
          </c:val>
          <c:extLst>
            <c:ext xmlns:c16="http://schemas.microsoft.com/office/drawing/2014/chart" uri="{C3380CC4-5D6E-409C-BE32-E72D297353CC}">
              <c16:uniqueId val="{00000017-FF39-436D-AA74-9A7A73BE1276}"/>
            </c:ext>
          </c:extLst>
        </c:ser>
        <c:ser>
          <c:idx val="3"/>
          <c:order val="3"/>
          <c:tx>
            <c:strRef>
              <c:f>'CATAGORY WISE PLANTS'!$E$1:$E$2</c:f>
              <c:strCache>
                <c:ptCount val="1"/>
                <c:pt idx="0">
                  <c:v>Fern</c:v>
                </c:pt>
              </c:strCache>
            </c:strRef>
          </c:tx>
          <c:spPr>
            <a:solidFill>
              <a:schemeClr val="accent4"/>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PLANTS'!$E$3:$E$8</c:f>
              <c:numCache>
                <c:formatCode>General</c:formatCode>
                <c:ptCount val="5"/>
                <c:pt idx="0">
                  <c:v>13</c:v>
                </c:pt>
                <c:pt idx="1">
                  <c:v>8</c:v>
                </c:pt>
                <c:pt idx="2">
                  <c:v>13</c:v>
                </c:pt>
                <c:pt idx="3">
                  <c:v>10</c:v>
                </c:pt>
                <c:pt idx="4">
                  <c:v>4</c:v>
                </c:pt>
              </c:numCache>
            </c:numRef>
          </c:val>
          <c:extLst>
            <c:ext xmlns:c16="http://schemas.microsoft.com/office/drawing/2014/chart" uri="{C3380CC4-5D6E-409C-BE32-E72D297353CC}">
              <c16:uniqueId val="{00000018-FF39-436D-AA74-9A7A73BE1276}"/>
            </c:ext>
          </c:extLst>
        </c:ser>
        <c:ser>
          <c:idx val="4"/>
          <c:order val="4"/>
          <c:tx>
            <c:strRef>
              <c:f>'CATAGORY WISE PLANTS'!$F$1:$F$2</c:f>
              <c:strCache>
                <c:ptCount val="1"/>
                <c:pt idx="0">
                  <c:v>Jasmine</c:v>
                </c:pt>
              </c:strCache>
            </c:strRef>
          </c:tx>
          <c:spPr>
            <a:solidFill>
              <a:schemeClr val="accent5"/>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PLANTS'!$F$3:$F$8</c:f>
              <c:numCache>
                <c:formatCode>General</c:formatCode>
                <c:ptCount val="5"/>
                <c:pt idx="0">
                  <c:v>14</c:v>
                </c:pt>
                <c:pt idx="1">
                  <c:v>4</c:v>
                </c:pt>
                <c:pt idx="2">
                  <c:v>14</c:v>
                </c:pt>
                <c:pt idx="3">
                  <c:v>14</c:v>
                </c:pt>
                <c:pt idx="4">
                  <c:v>13</c:v>
                </c:pt>
              </c:numCache>
            </c:numRef>
          </c:val>
          <c:extLst>
            <c:ext xmlns:c16="http://schemas.microsoft.com/office/drawing/2014/chart" uri="{C3380CC4-5D6E-409C-BE32-E72D297353CC}">
              <c16:uniqueId val="{00000019-FF39-436D-AA74-9A7A73BE1276}"/>
            </c:ext>
          </c:extLst>
        </c:ser>
        <c:ser>
          <c:idx val="5"/>
          <c:order val="5"/>
          <c:tx>
            <c:strRef>
              <c:f>'CATAGORY WISE PLANTS'!$G$1:$G$2</c:f>
              <c:strCache>
                <c:ptCount val="1"/>
                <c:pt idx="0">
                  <c:v>Lily</c:v>
                </c:pt>
              </c:strCache>
            </c:strRef>
          </c:tx>
          <c:spPr>
            <a:solidFill>
              <a:schemeClr val="accent6"/>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PLANTS'!$G$3:$G$8</c:f>
              <c:numCache>
                <c:formatCode>General</c:formatCode>
                <c:ptCount val="5"/>
                <c:pt idx="0">
                  <c:v>15</c:v>
                </c:pt>
                <c:pt idx="1">
                  <c:v>6</c:v>
                </c:pt>
                <c:pt idx="2">
                  <c:v>11</c:v>
                </c:pt>
                <c:pt idx="3">
                  <c:v>10</c:v>
                </c:pt>
                <c:pt idx="4">
                  <c:v>12</c:v>
                </c:pt>
              </c:numCache>
            </c:numRef>
          </c:val>
          <c:extLst>
            <c:ext xmlns:c16="http://schemas.microsoft.com/office/drawing/2014/chart" uri="{C3380CC4-5D6E-409C-BE32-E72D297353CC}">
              <c16:uniqueId val="{0000001A-FF39-436D-AA74-9A7A73BE1276}"/>
            </c:ext>
          </c:extLst>
        </c:ser>
        <c:ser>
          <c:idx val="6"/>
          <c:order val="6"/>
          <c:tx>
            <c:strRef>
              <c:f>'CATAGORY WISE PLANTS'!$H$1:$H$2</c:f>
              <c:strCache>
                <c:ptCount val="1"/>
                <c:pt idx="0">
                  <c:v>Orchid</c:v>
                </c:pt>
              </c:strCache>
            </c:strRef>
          </c:tx>
          <c:spPr>
            <a:solidFill>
              <a:schemeClr val="accent1">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PLANTS'!$H$3:$H$8</c:f>
              <c:numCache>
                <c:formatCode>General</c:formatCode>
                <c:ptCount val="5"/>
                <c:pt idx="0">
                  <c:v>9</c:v>
                </c:pt>
                <c:pt idx="1">
                  <c:v>7</c:v>
                </c:pt>
                <c:pt idx="2">
                  <c:v>6</c:v>
                </c:pt>
                <c:pt idx="3">
                  <c:v>6</c:v>
                </c:pt>
                <c:pt idx="4">
                  <c:v>10</c:v>
                </c:pt>
              </c:numCache>
            </c:numRef>
          </c:val>
          <c:extLst>
            <c:ext xmlns:c16="http://schemas.microsoft.com/office/drawing/2014/chart" uri="{C3380CC4-5D6E-409C-BE32-E72D297353CC}">
              <c16:uniqueId val="{0000001B-FF39-436D-AA74-9A7A73BE1276}"/>
            </c:ext>
          </c:extLst>
        </c:ser>
        <c:ser>
          <c:idx val="7"/>
          <c:order val="7"/>
          <c:tx>
            <c:strRef>
              <c:f>'CATAGORY WISE PLANTS'!$I$1:$I$2</c:f>
              <c:strCache>
                <c:ptCount val="1"/>
                <c:pt idx="0">
                  <c:v>Palm</c:v>
                </c:pt>
              </c:strCache>
            </c:strRef>
          </c:tx>
          <c:spPr>
            <a:solidFill>
              <a:schemeClr val="accent2">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PLANTS'!$I$3:$I$8</c:f>
              <c:numCache>
                <c:formatCode>General</c:formatCode>
                <c:ptCount val="5"/>
                <c:pt idx="0">
                  <c:v>8</c:v>
                </c:pt>
                <c:pt idx="2">
                  <c:v>12</c:v>
                </c:pt>
                <c:pt idx="3">
                  <c:v>8</c:v>
                </c:pt>
                <c:pt idx="4">
                  <c:v>6</c:v>
                </c:pt>
              </c:numCache>
            </c:numRef>
          </c:val>
          <c:extLst>
            <c:ext xmlns:c16="http://schemas.microsoft.com/office/drawing/2014/chart" uri="{C3380CC4-5D6E-409C-BE32-E72D297353CC}">
              <c16:uniqueId val="{0000001C-FF39-436D-AA74-9A7A73BE1276}"/>
            </c:ext>
          </c:extLst>
        </c:ser>
        <c:ser>
          <c:idx val="8"/>
          <c:order val="8"/>
          <c:tx>
            <c:strRef>
              <c:f>'CATAGORY WISE PLANTS'!$J$1:$J$2</c:f>
              <c:strCache>
                <c:ptCount val="1"/>
                <c:pt idx="0">
                  <c:v>Rose</c:v>
                </c:pt>
              </c:strCache>
            </c:strRef>
          </c:tx>
          <c:spPr>
            <a:solidFill>
              <a:schemeClr val="accent3">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PLANTS'!$J$3:$J$8</c:f>
              <c:numCache>
                <c:formatCode>General</c:formatCode>
                <c:ptCount val="5"/>
                <c:pt idx="0">
                  <c:v>11</c:v>
                </c:pt>
                <c:pt idx="1">
                  <c:v>16</c:v>
                </c:pt>
                <c:pt idx="2">
                  <c:v>11</c:v>
                </c:pt>
                <c:pt idx="3">
                  <c:v>10</c:v>
                </c:pt>
                <c:pt idx="4">
                  <c:v>6</c:v>
                </c:pt>
              </c:numCache>
            </c:numRef>
          </c:val>
          <c:extLst>
            <c:ext xmlns:c16="http://schemas.microsoft.com/office/drawing/2014/chart" uri="{C3380CC4-5D6E-409C-BE32-E72D297353CC}">
              <c16:uniqueId val="{0000001D-FF39-436D-AA74-9A7A73BE1276}"/>
            </c:ext>
          </c:extLst>
        </c:ser>
        <c:ser>
          <c:idx val="9"/>
          <c:order val="9"/>
          <c:tx>
            <c:strRef>
              <c:f>'CATAGORY WISE PLANTS'!$K$1:$K$2</c:f>
              <c:strCache>
                <c:ptCount val="1"/>
                <c:pt idx="0">
                  <c:v>Tulip</c:v>
                </c:pt>
              </c:strCache>
            </c:strRef>
          </c:tx>
          <c:spPr>
            <a:solidFill>
              <a:schemeClr val="accent4">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PLANTS'!$K$3:$K$8</c:f>
              <c:numCache>
                <c:formatCode>General</c:formatCode>
                <c:ptCount val="5"/>
                <c:pt idx="0">
                  <c:v>10</c:v>
                </c:pt>
                <c:pt idx="1">
                  <c:v>11</c:v>
                </c:pt>
                <c:pt idx="2">
                  <c:v>11</c:v>
                </c:pt>
                <c:pt idx="3">
                  <c:v>6</c:v>
                </c:pt>
                <c:pt idx="4">
                  <c:v>13</c:v>
                </c:pt>
              </c:numCache>
            </c:numRef>
          </c:val>
          <c:extLst>
            <c:ext xmlns:c16="http://schemas.microsoft.com/office/drawing/2014/chart" uri="{C3380CC4-5D6E-409C-BE32-E72D297353CC}">
              <c16:uniqueId val="{0000001E-FF39-436D-AA74-9A7A73BE1276}"/>
            </c:ext>
          </c:extLst>
        </c:ser>
        <c:dLbls>
          <c:showLegendKey val="0"/>
          <c:showVal val="0"/>
          <c:showCatName val="0"/>
          <c:showSerName val="0"/>
          <c:showPercent val="0"/>
          <c:showBubbleSize val="0"/>
        </c:dLbls>
        <c:gapWidth val="219"/>
        <c:overlap val="100"/>
        <c:axId val="1327616479"/>
        <c:axId val="1327738927"/>
      </c:barChart>
      <c:catAx>
        <c:axId val="132761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38927"/>
        <c:crosses val="autoZero"/>
        <c:auto val="1"/>
        <c:lblAlgn val="ctr"/>
        <c:lblOffset val="100"/>
        <c:noMultiLvlLbl val="0"/>
      </c:catAx>
      <c:valAx>
        <c:axId val="1327738927"/>
        <c:scaling>
          <c:orientation val="minMax"/>
        </c:scaling>
        <c:delete val="1"/>
        <c:axPos val="l"/>
        <c:numFmt formatCode="0%" sourceLinked="1"/>
        <c:majorTickMark val="none"/>
        <c:minorTickMark val="none"/>
        <c:tickLblPos val="nextTo"/>
        <c:crossAx val="132761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[Plants_data.xlsx]REVENUE BY NURSERY &amp; PLANTS!PivotTable6</c:name>
    <c:fmtId val="5"/>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b="1">
                <a:solidFill>
                  <a:srgbClr val="C00000"/>
                </a:solidFill>
              </a:rPr>
              <a:t>NURSERY WISE REVENUE</a:t>
            </a:r>
          </a:p>
        </c:rich>
      </c:tx>
      <c:layout>
        <c:manualLayout>
          <c:xMode val="edge"/>
          <c:yMode val="edge"/>
          <c:x val="0.2688826466916354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25888486912105E-3"/>
          <c:y val="0.104858340179698"/>
          <c:w val="0.95667362736752504"/>
          <c:h val="0.77765695245608335"/>
        </c:manualLayout>
      </c:layout>
      <c:barChart>
        <c:barDir val="col"/>
        <c:grouping val="clustered"/>
        <c:varyColors val="0"/>
        <c:ser>
          <c:idx val="0"/>
          <c:order val="0"/>
          <c:tx>
            <c:strRef>
              <c:f>'REVENUE BY NURSERY &amp; PLANTS'!$B$3</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9C18-43FC-922F-8499E3CAC55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9C18-43FC-922F-8499E3CAC55A}"/>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9C18-43FC-922F-8499E3CAC55A}"/>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7-9C18-43FC-922F-8499E3CAC55A}"/>
              </c:ext>
            </c:extLst>
          </c:dPt>
          <c:dPt>
            <c:idx val="4"/>
            <c:invertIfNegative val="0"/>
            <c:bubble3D val="0"/>
            <c:spPr>
              <a:solidFill>
                <a:srgbClr val="FF0000"/>
              </a:solidFill>
              <a:ln>
                <a:noFill/>
              </a:ln>
              <a:effectLst/>
            </c:spPr>
            <c:extLst>
              <c:ext xmlns:c16="http://schemas.microsoft.com/office/drawing/2014/chart" uri="{C3380CC4-5D6E-409C-BE32-E72D297353CC}">
                <c16:uniqueId val="{00000009-9C18-43FC-922F-8499E3CAC55A}"/>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18-43FC-922F-8499E3CAC55A}"/>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18-43FC-922F-8499E3CAC55A}"/>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18-43FC-922F-8499E3CAC55A}"/>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18-43FC-922F-8499E3CAC55A}"/>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C18-43FC-922F-8499E3CAC5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NURSERY &amp; PLANTS'!$A$4:$A$9</c:f>
              <c:strCache>
                <c:ptCount val="5"/>
                <c:pt idx="0">
                  <c:v>NatureNest</c:v>
                </c:pt>
                <c:pt idx="1">
                  <c:v>PlantHub</c:v>
                </c:pt>
                <c:pt idx="2">
                  <c:v>UrbanLeaf</c:v>
                </c:pt>
                <c:pt idx="3">
                  <c:v>EcoGarden</c:v>
                </c:pt>
                <c:pt idx="4">
                  <c:v>GreenGrow</c:v>
                </c:pt>
              </c:strCache>
            </c:strRef>
          </c:cat>
          <c:val>
            <c:numRef>
              <c:f>'REVENUE BY NURSERY &amp; PLANTS'!$B$4:$B$9</c:f>
              <c:numCache>
                <c:formatCode>General</c:formatCode>
                <c:ptCount val="5"/>
                <c:pt idx="0">
                  <c:v>838135</c:v>
                </c:pt>
                <c:pt idx="1">
                  <c:v>728345</c:v>
                </c:pt>
                <c:pt idx="2">
                  <c:v>654053</c:v>
                </c:pt>
                <c:pt idx="3">
                  <c:v>625442</c:v>
                </c:pt>
                <c:pt idx="4">
                  <c:v>489861</c:v>
                </c:pt>
              </c:numCache>
            </c:numRef>
          </c:val>
          <c:extLst>
            <c:ext xmlns:c16="http://schemas.microsoft.com/office/drawing/2014/chart" uri="{C3380CC4-5D6E-409C-BE32-E72D297353CC}">
              <c16:uniqueId val="{0000000A-9C18-43FC-922F-8499E3CAC55A}"/>
            </c:ext>
          </c:extLst>
        </c:ser>
        <c:dLbls>
          <c:showLegendKey val="0"/>
          <c:showVal val="0"/>
          <c:showCatName val="0"/>
          <c:showSerName val="0"/>
          <c:showPercent val="0"/>
          <c:showBubbleSize val="0"/>
        </c:dLbls>
        <c:gapWidth val="219"/>
        <c:overlap val="-27"/>
        <c:axId val="807089248"/>
        <c:axId val="1106077520"/>
      </c:barChart>
      <c:catAx>
        <c:axId val="80708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77520"/>
        <c:crosses val="autoZero"/>
        <c:auto val="1"/>
        <c:lblAlgn val="ctr"/>
        <c:lblOffset val="100"/>
        <c:noMultiLvlLbl val="0"/>
      </c:catAx>
      <c:valAx>
        <c:axId val="1106077520"/>
        <c:scaling>
          <c:orientation val="minMax"/>
        </c:scaling>
        <c:delete val="1"/>
        <c:axPos val="l"/>
        <c:numFmt formatCode="General" sourceLinked="1"/>
        <c:majorTickMark val="none"/>
        <c:minorTickMark val="none"/>
        <c:tickLblPos val="nextTo"/>
        <c:crossAx val="8070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[Plants_data.xlsx]CATAGORY WISE SALE!PivotTable1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CATEGORY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3142545945157986"/>
          <c:y val="0.16130649006831391"/>
          <c:w val="0.344480407271124"/>
          <c:h val="0.80705926880160384"/>
        </c:manualLayout>
      </c:layout>
      <c:doughnutChart>
        <c:varyColors val="1"/>
        <c:ser>
          <c:idx val="0"/>
          <c:order val="0"/>
          <c:tx>
            <c:strRef>
              <c:f>'CATAGORY WISE SALE'!$F$4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A0-4821-8458-18ABA399BB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A0-4821-8458-18ABA399BB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A0-4821-8458-18ABA399BB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A0-4821-8458-18ABA399BB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A0-4821-8458-18ABA399BB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'CATAGORY WISE SALE'!$E$5:$E$10</c:f>
              <c:strCache>
                <c:ptCount val="5"/>
                <c:pt idx="0">
                  <c:v>Flower</c:v>
                </c:pt>
                <c:pt idx="1">
                  <c:v>Indoor</c:v>
                </c:pt>
                <c:pt idx="2">
                  <c:v>Medicinal</c:v>
                </c:pt>
                <c:pt idx="3">
                  <c:v>Outdoor</c:v>
                </c:pt>
                <c:pt idx="4">
                  <c:v>Succulent</c:v>
                </c:pt>
              </c:strCache>
            </c:strRef>
          </c:cat>
          <c:val>
            <c:numRef>
              <c:f>'CATAGORY WISE SALE'!$F$5:$F$10</c:f>
              <c:numCache>
                <c:formatCode>0.00%</c:formatCode>
                <c:ptCount val="5"/>
                <c:pt idx="0">
                  <c:v>0.21325557569548428</c:v>
                </c:pt>
                <c:pt idx="1">
                  <c:v>0.1501300338876192</c:v>
                </c:pt>
                <c:pt idx="2">
                  <c:v>0.24998029789581527</c:v>
                </c:pt>
                <c:pt idx="3">
                  <c:v>0.18322956891796044</c:v>
                </c:pt>
                <c:pt idx="4">
                  <c:v>0.20340452360312081</c:v>
                </c:pt>
              </c:numCache>
            </c:numRef>
          </c:val>
          <c:extLst>
            <c:ext xmlns:c16="http://schemas.microsoft.com/office/drawing/2014/chart" uri="{C3380CC4-5D6E-409C-BE32-E72D297353CC}">
              <c16:uniqueId val="{0000000A-F4A0-4821-8458-18ABA399BB0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PLANTS QUANTITY WISE</cx:v>
        </cx:txData>
      </cx:tx>
    </cx:title>
    <cx:plotArea>
      <cx:plotAreaRegion>
        <cx:series layoutId="funnel" uniqueId="{00000000-5147-40A0-83D8-A7D48C0E1109}">
          <cx:spPr>
            <a:solidFill>
              <a:schemeClr val="accent4">
                <a:lumMod val="75000"/>
              </a:schemeClr>
            </a:solidFill>
          </cx:spPr>
          <cx:dataPt idx="1">
            <cx:spPr>
              <a:solidFill>
                <a:srgbClr val="FBBC04"/>
              </a:solidFill>
            </cx:spPr>
          </cx:dataPt>
          <cx:dataPt idx="2">
            <cx:spPr>
              <a:solidFill>
                <a:srgbClr val="FBBC04">
                  <a:lumMod val="50000"/>
                </a:srgbClr>
              </a:solidFill>
            </cx:spPr>
          </cx:dataPt>
          <cx:dataPt idx="3">
            <cx:spPr>
              <a:solidFill>
                <a:srgbClr val="4285F4"/>
              </a:solidFill>
            </cx:spPr>
          </cx:dataPt>
          <cx:dataPt idx="4">
            <cx:spPr>
              <a:solidFill>
                <a:srgbClr val="CFAFE7"/>
              </a:solidFill>
            </cx:spPr>
          </cx:dataPt>
          <cx:dataPt idx="5">
            <cx:spPr>
              <a:solidFill>
                <a:srgbClr val="A50176"/>
              </a:solidFill>
            </cx:spPr>
          </cx:dataPt>
          <cx:dataPt idx="6">
            <cx:spPr>
              <a:solidFill>
                <a:srgbClr val="4285F4">
                  <a:lumMod val="20000"/>
                  <a:lumOff val="80000"/>
                </a:srgbClr>
              </a:solidFill>
            </cx:spPr>
          </cx:dataPt>
          <cx:dataPt idx="7">
            <cx:spPr>
              <a:solidFill>
                <a:srgbClr val="EA4335">
                  <a:lumMod val="40000"/>
                  <a:lumOff val="60000"/>
                </a:srgbClr>
              </a:solidFill>
            </cx:spPr>
          </cx:dataPt>
          <cx:dataPt idx="8">
            <cx:spPr>
              <a:solidFill>
                <a:srgbClr val="34A853">
                  <a:lumMod val="40000"/>
                  <a:lumOff val="60000"/>
                </a:srgbClr>
              </a:solidFill>
            </cx:spPr>
          </cx:dataPt>
          <cx:dataPt idx="9">
            <cx:spPr>
              <a:solidFill>
                <a:srgbClr val="C00000"/>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REVENUE BY PLANTS</cx:v>
        </cx:txData>
      </cx:tx>
    </cx:title>
    <cx:plotArea>
      <cx:plotAreaRegion>
        <cx:series layoutId="funnel" uniqueId="{ABCC29D8-5B92-4CBB-A069-38E7C3D8E23B}">
          <cx:spPr>
            <a:solidFill>
              <a:schemeClr val="accent4"/>
            </a:solidFill>
            <a:ln>
              <a:noFill/>
            </a:ln>
          </cx:spPr>
          <cx:dataPt idx="1">
            <cx:spPr>
              <a:solidFill>
                <a:srgbClr val="FFC000"/>
              </a:solidFill>
            </cx:spPr>
          </cx:dataPt>
          <cx:dataPt idx="2">
            <cx:spPr>
              <a:solidFill>
                <a:srgbClr val="4285F4">
                  <a:lumMod val="50000"/>
                </a:srgbClr>
              </a:solidFill>
            </cx:spPr>
          </cx:dataPt>
          <cx:dataPt idx="3">
            <cx:spPr>
              <a:solidFill>
                <a:srgbClr val="EA4335">
                  <a:lumMod val="50000"/>
                </a:srgbClr>
              </a:solidFill>
            </cx:spPr>
          </cx:dataPt>
          <cx:dataPt idx="4">
            <cx:spPr>
              <a:solidFill>
                <a:srgbClr val="FFFFFF">
                  <a:lumMod val="50000"/>
                </a:srgbClr>
              </a:solidFill>
            </cx:spPr>
          </cx:dataPt>
          <cx:dataPt idx="5">
            <cx:spPr>
              <a:solidFill>
                <a:srgbClr val="34A853">
                  <a:lumMod val="60000"/>
                  <a:lumOff val="40000"/>
                </a:srgbClr>
              </a:solidFill>
            </cx:spPr>
          </cx:dataPt>
          <cx:dataPt idx="6">
            <cx:spPr>
              <a:solidFill>
                <a:srgbClr val="FBBC04">
                  <a:lumMod val="40000"/>
                  <a:lumOff val="60000"/>
                </a:srgbClr>
              </a:solidFill>
            </cx:spPr>
          </cx:dataPt>
          <cx:dataPt idx="7">
            <cx:spPr>
              <a:solidFill>
                <a:srgbClr val="EA4335">
                  <a:lumMod val="40000"/>
                  <a:lumOff val="60000"/>
                </a:srgbClr>
              </a:solidFill>
            </cx:spPr>
          </cx:dataPt>
          <cx:dataPt idx="8">
            <cx:spPr>
              <a:solidFill>
                <a:srgbClr val="46BDC6">
                  <a:lumMod val="40000"/>
                  <a:lumOff val="60000"/>
                </a:srgbClr>
              </a:solidFill>
            </cx:spPr>
          </cx:dataPt>
          <cx:dataPt idx="9">
            <cx:spPr>
              <a:solidFill>
                <a:srgbClr val="FF0000"/>
              </a:solidFill>
            </cx:spPr>
          </cx:dataPt>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PLANT WISE REVENUE</cx:v>
        </cx:txData>
      </cx:tx>
      <cx:txPr>
        <a:bodyPr spcFirstLastPara="1" vertOverflow="ellipsis" horzOverflow="overflow" wrap="square" lIns="0" tIns="0" rIns="0" bIns="0" anchor="ctr" anchorCtr="1"/>
        <a:lstStyle/>
        <a:p>
          <a:pPr algn="ctr" rtl="0">
            <a:defRPr b="1">
              <a:solidFill>
                <a:srgbClr val="C00000"/>
              </a:solidFill>
            </a:defRPr>
          </a:pPr>
          <a:r>
            <a:rPr lang="en-US" sz="1400" b="1" i="0" u="none" strike="noStrike" baseline="0">
              <a:solidFill>
                <a:srgbClr val="C00000"/>
              </a:solidFill>
              <a:latin typeface="Arial"/>
              <a:cs typeface="Arial"/>
            </a:rPr>
            <a:t>PLANT WISE REVENUE</a:t>
          </a:r>
        </a:p>
      </cx:txPr>
      <cx:extLst>
        <cx:ext uri="ext:featex">
          <cx:featureExtension feature="mp" drop="onModelChange">
            <cx:offset top="-0.049019027501344681" left="-0.039215877652168274"/>
          </cx:featureExtension>
        </cx:ext>
      </cx:extLst>
    </cx:title>
    <cx:plotArea>
      <cx:plotAreaRegion>
        <cx:series layoutId="funnel" uniqueId="{ABCC29D8-5B92-4CBB-A069-38E7C3D8E23B}">
          <cx:spPr>
            <a:solidFill>
              <a:schemeClr val="accent4"/>
            </a:solidFill>
            <a:ln>
              <a:noFill/>
            </a:ln>
          </cx:spPr>
          <cx:dataPt idx="1">
            <cx:spPr>
              <a:solidFill>
                <a:srgbClr val="FFC000"/>
              </a:solidFill>
            </cx:spPr>
          </cx:dataPt>
          <cx:dataPt idx="2">
            <cx:spPr>
              <a:solidFill>
                <a:srgbClr val="4285F4">
                  <a:lumMod val="50000"/>
                </a:srgbClr>
              </a:solidFill>
            </cx:spPr>
          </cx:dataPt>
          <cx:dataPt idx="3">
            <cx:spPr>
              <a:solidFill>
                <a:srgbClr val="EA4335">
                  <a:lumMod val="50000"/>
                </a:srgbClr>
              </a:solidFill>
            </cx:spPr>
          </cx:dataPt>
          <cx:dataPt idx="4">
            <cx:spPr>
              <a:solidFill>
                <a:srgbClr val="FFFFFF">
                  <a:lumMod val="50000"/>
                </a:srgbClr>
              </a:solidFill>
            </cx:spPr>
          </cx:dataPt>
          <cx:dataPt idx="5">
            <cx:spPr>
              <a:solidFill>
                <a:srgbClr val="34A853">
                  <a:lumMod val="60000"/>
                  <a:lumOff val="40000"/>
                </a:srgbClr>
              </a:solidFill>
            </cx:spPr>
          </cx:dataPt>
          <cx:dataPt idx="6">
            <cx:spPr>
              <a:solidFill>
                <a:srgbClr val="FBBC04">
                  <a:lumMod val="40000"/>
                  <a:lumOff val="60000"/>
                </a:srgbClr>
              </a:solidFill>
            </cx:spPr>
          </cx:dataPt>
          <cx:dataPt idx="7">
            <cx:spPr>
              <a:solidFill>
                <a:srgbClr val="EA4335">
                  <a:lumMod val="40000"/>
                  <a:lumOff val="60000"/>
                </a:srgbClr>
              </a:solidFill>
            </cx:spPr>
          </cx:dataPt>
          <cx:dataPt idx="8">
            <cx:spPr>
              <a:solidFill>
                <a:srgbClr val="46BDC6">
                  <a:lumMod val="40000"/>
                  <a:lumOff val="60000"/>
                </a:srgbClr>
              </a:solidFill>
            </cx:spPr>
          </cx:dataPt>
          <cx:dataPt idx="9">
            <cx:spPr>
              <a:solidFill>
                <a:srgbClr val="FF0000"/>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7.emf"/><Relationship Id="rId3" Type="http://schemas.openxmlformats.org/officeDocument/2006/relationships/chart" Target="../charts/chart13.xml"/><Relationship Id="rId7" Type="http://schemas.openxmlformats.org/officeDocument/2006/relationships/image" Target="../media/image4.emf"/><Relationship Id="rId12" Type="http://schemas.openxmlformats.org/officeDocument/2006/relationships/chart" Target="../charts/chart15.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3.emf"/><Relationship Id="rId11" Type="http://schemas.openxmlformats.org/officeDocument/2006/relationships/image" Target="../media/image6.svg"/><Relationship Id="rId5" Type="http://schemas.openxmlformats.org/officeDocument/2006/relationships/image" Target="../media/image2.emf"/><Relationship Id="rId10" Type="http://schemas.openxmlformats.org/officeDocument/2006/relationships/image" Target="../media/image5.png"/><Relationship Id="rId4" Type="http://schemas.openxmlformats.org/officeDocument/2006/relationships/image" Target="../media/image1.emf"/><Relationship Id="rId9"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2</xdr:col>
      <xdr:colOff>586740</xdr:colOff>
      <xdr:row>6</xdr:row>
      <xdr:rowOff>144780</xdr:rowOff>
    </xdr:from>
    <xdr:to>
      <xdr:col>10</xdr:col>
      <xdr:colOff>281940</xdr:colOff>
      <xdr:row>23</xdr:row>
      <xdr:rowOff>38100</xdr:rowOff>
    </xdr:to>
    <xdr:graphicFrame macro="">
      <xdr:nvGraphicFramePr>
        <xdr:cNvPr id="2" name="Chart 1">
          <a:extLst>
            <a:ext uri="{FF2B5EF4-FFF2-40B4-BE49-F238E27FC236}">
              <a16:creationId xmlns:a16="http://schemas.microsoft.com/office/drawing/2014/main" id="{BD3ACA78-0CC7-B9C7-8CA2-996EBDD01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6</xdr:row>
      <xdr:rowOff>144780</xdr:rowOff>
    </xdr:from>
    <xdr:to>
      <xdr:col>10</xdr:col>
      <xdr:colOff>91440</xdr:colOff>
      <xdr:row>23</xdr:row>
      <xdr:rowOff>38100</xdr:rowOff>
    </xdr:to>
    <xdr:graphicFrame macro="">
      <xdr:nvGraphicFramePr>
        <xdr:cNvPr id="2" name="Chart 1">
          <a:extLst>
            <a:ext uri="{FF2B5EF4-FFF2-40B4-BE49-F238E27FC236}">
              <a16:creationId xmlns:a16="http://schemas.microsoft.com/office/drawing/2014/main" id="{9D690EFA-A7BA-4EF3-4228-084FC264C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556260</xdr:colOff>
      <xdr:row>6</xdr:row>
      <xdr:rowOff>140970</xdr:rowOff>
    </xdr:from>
    <xdr:to>
      <xdr:col>13</xdr:col>
      <xdr:colOff>251460</xdr:colOff>
      <xdr:row>23</xdr:row>
      <xdr:rowOff>34290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2D33FBC-7A1A-514E-ED2D-157F36F949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468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76200</xdr:colOff>
      <xdr:row>12</xdr:row>
      <xdr:rowOff>95250</xdr:rowOff>
    </xdr:from>
    <xdr:to>
      <xdr:col>14</xdr:col>
      <xdr:colOff>259080</xdr:colOff>
      <xdr:row>28</xdr:row>
      <xdr:rowOff>156210</xdr:rowOff>
    </xdr:to>
    <xdr:graphicFrame macro="">
      <xdr:nvGraphicFramePr>
        <xdr:cNvPr id="3" name="Chart 2">
          <a:extLst>
            <a:ext uri="{FF2B5EF4-FFF2-40B4-BE49-F238E27FC236}">
              <a16:creationId xmlns:a16="http://schemas.microsoft.com/office/drawing/2014/main" id="{43F103A1-A218-6442-3CE8-EF0152CEC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11</xdr:row>
      <xdr:rowOff>152400</xdr:rowOff>
    </xdr:from>
    <xdr:to>
      <xdr:col>5</xdr:col>
      <xdr:colOff>259080</xdr:colOff>
      <xdr:row>24</xdr:row>
      <xdr:rowOff>137160</xdr:rowOff>
    </xdr:to>
    <xdr:graphicFrame macro="">
      <xdr:nvGraphicFramePr>
        <xdr:cNvPr id="2" name="Chart 1">
          <a:extLst>
            <a:ext uri="{FF2B5EF4-FFF2-40B4-BE49-F238E27FC236}">
              <a16:creationId xmlns:a16="http://schemas.microsoft.com/office/drawing/2014/main" id="{DE00CAEC-7E7B-3434-C4A0-C5AED9D34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45720</xdr:colOff>
      <xdr:row>11</xdr:row>
      <xdr:rowOff>114300</xdr:rowOff>
    </xdr:from>
    <xdr:to>
      <xdr:col>13</xdr:col>
      <xdr:colOff>495300</xdr:colOff>
      <xdr:row>28</xdr:row>
      <xdr:rowOff>7620</xdr:rowOff>
    </xdr:to>
    <xdr:graphicFrame macro="">
      <xdr:nvGraphicFramePr>
        <xdr:cNvPr id="2" name="Chart 1">
          <a:extLst>
            <a:ext uri="{FF2B5EF4-FFF2-40B4-BE49-F238E27FC236}">
              <a16:creationId xmlns:a16="http://schemas.microsoft.com/office/drawing/2014/main" id="{D2F7B30B-143E-A258-DBC8-7650A444B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243840</xdr:colOff>
      <xdr:row>10</xdr:row>
      <xdr:rowOff>137160</xdr:rowOff>
    </xdr:from>
    <xdr:to>
      <xdr:col>5</xdr:col>
      <xdr:colOff>464820</xdr:colOff>
      <xdr:row>27</xdr:row>
      <xdr:rowOff>30480</xdr:rowOff>
    </xdr:to>
    <xdr:graphicFrame macro="">
      <xdr:nvGraphicFramePr>
        <xdr:cNvPr id="2" name="Chart 1">
          <a:extLst>
            <a:ext uri="{FF2B5EF4-FFF2-40B4-BE49-F238E27FC236}">
              <a16:creationId xmlns:a16="http://schemas.microsoft.com/office/drawing/2014/main" id="{8D2ED6D9-4627-05FA-359E-2C42AA329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190500</xdr:colOff>
      <xdr:row>11</xdr:row>
      <xdr:rowOff>0</xdr:rowOff>
    </xdr:from>
    <xdr:to>
      <xdr:col>3</xdr:col>
      <xdr:colOff>541020</xdr:colOff>
      <xdr:row>27</xdr:row>
      <xdr:rowOff>60960</xdr:rowOff>
    </xdr:to>
    <xdr:graphicFrame macro="">
      <xdr:nvGraphicFramePr>
        <xdr:cNvPr id="2" name="Chart 1">
          <a:extLst>
            <a:ext uri="{FF2B5EF4-FFF2-40B4-BE49-F238E27FC236}">
              <a16:creationId xmlns:a16="http://schemas.microsoft.com/office/drawing/2014/main" id="{D2381CC2-6402-E551-549E-13396445C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396240</xdr:colOff>
      <xdr:row>14</xdr:row>
      <xdr:rowOff>129541</xdr:rowOff>
    </xdr:from>
    <xdr:to>
      <xdr:col>8</xdr:col>
      <xdr:colOff>548640</xdr:colOff>
      <xdr:row>24</xdr:row>
      <xdr:rowOff>144780</xdr:rowOff>
    </xdr:to>
    <mc:AlternateContent xmlns:mc="http://schemas.openxmlformats.org/markup-compatibility/2006" xmlns:a14="http://schemas.microsoft.com/office/drawing/2010/main">
      <mc:Choice Requires="a14">
        <xdr:graphicFrame macro="">
          <xdr:nvGraphicFramePr>
            <xdr:cNvPr id="3" name="Nursery_Name">
              <a:extLst>
                <a:ext uri="{FF2B5EF4-FFF2-40B4-BE49-F238E27FC236}">
                  <a16:creationId xmlns:a16="http://schemas.microsoft.com/office/drawing/2014/main" id="{D40F04C1-81D8-CE68-F2E7-50B8B71FEA0D}"/>
                </a:ext>
              </a:extLst>
            </xdr:cNvPr>
            <xdr:cNvGraphicFramePr/>
          </xdr:nvGraphicFramePr>
          <xdr:xfrm>
            <a:off x="0" y="0"/>
            <a:ext cx="0" cy="0"/>
          </xdr:xfrm>
          <a:graphic>
            <a:graphicData uri="http://schemas.microsoft.com/office/drawing/2010/slicer">
              <sle:slicer xmlns:sle="http://schemas.microsoft.com/office/drawing/2010/slicer" name="Nursery_Name"/>
            </a:graphicData>
          </a:graphic>
        </xdr:graphicFrame>
      </mc:Choice>
      <mc:Fallback xmlns="">
        <xdr:sp macro="" textlink="">
          <xdr:nvSpPr>
            <xdr:cNvPr id="0" name=""/>
            <xdr:cNvSpPr>
              <a:spLocks noTextEdit="1"/>
            </xdr:cNvSpPr>
          </xdr:nvSpPr>
          <xdr:spPr>
            <a:xfrm>
              <a:off x="5379720" y="2476501"/>
              <a:ext cx="137160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6</xdr:col>
      <xdr:colOff>388620</xdr:colOff>
      <xdr:row>3</xdr:row>
      <xdr:rowOff>60960</xdr:rowOff>
    </xdr:from>
    <xdr:to>
      <xdr:col>8</xdr:col>
      <xdr:colOff>502920</xdr:colOff>
      <xdr:row>13</xdr:row>
      <xdr:rowOff>99059</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25A3EA8B-F127-B76B-CD74-24386E30875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372100" y="563880"/>
              <a:ext cx="133350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22860</xdr:colOff>
      <xdr:row>3</xdr:row>
      <xdr:rowOff>60961</xdr:rowOff>
    </xdr:from>
    <xdr:to>
      <xdr:col>13</xdr:col>
      <xdr:colOff>251460</xdr:colOff>
      <xdr:row>13</xdr:row>
      <xdr:rowOff>30480</xdr:rowOff>
    </xdr:to>
    <mc:AlternateContent xmlns:mc="http://schemas.openxmlformats.org/markup-compatibility/2006" xmlns:a14="http://schemas.microsoft.com/office/drawing/2010/main">
      <mc:Choice Requires="a14">
        <xdr:graphicFrame macro="">
          <xdr:nvGraphicFramePr>
            <xdr:cNvPr id="5" name="plant name">
              <a:extLst>
                <a:ext uri="{FF2B5EF4-FFF2-40B4-BE49-F238E27FC236}">
                  <a16:creationId xmlns:a16="http://schemas.microsoft.com/office/drawing/2014/main" id="{AC23F81E-C424-B2D9-9172-DF1B8055636B}"/>
                </a:ext>
              </a:extLst>
            </xdr:cNvPr>
            <xdr:cNvGraphicFramePr/>
          </xdr:nvGraphicFramePr>
          <xdr:xfrm>
            <a:off x="0" y="0"/>
            <a:ext cx="0" cy="0"/>
          </xdr:xfrm>
          <a:graphic>
            <a:graphicData uri="http://schemas.microsoft.com/office/drawing/2010/slicer">
              <sle:slicer xmlns:sle="http://schemas.microsoft.com/office/drawing/2010/slicer" name="plant name"/>
            </a:graphicData>
          </a:graphic>
        </xdr:graphicFrame>
      </mc:Choice>
      <mc:Fallback xmlns="">
        <xdr:sp macro="" textlink="">
          <xdr:nvSpPr>
            <xdr:cNvPr id="0" name=""/>
            <xdr:cNvSpPr>
              <a:spLocks noTextEdit="1"/>
            </xdr:cNvSpPr>
          </xdr:nvSpPr>
          <xdr:spPr>
            <a:xfrm>
              <a:off x="8054340" y="563881"/>
              <a:ext cx="144780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30480</xdr:colOff>
      <xdr:row>14</xdr:row>
      <xdr:rowOff>76200</xdr:rowOff>
    </xdr:from>
    <xdr:to>
      <xdr:col>13</xdr:col>
      <xdr:colOff>266700</xdr:colOff>
      <xdr:row>24</xdr:row>
      <xdr:rowOff>121919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37AF9E5-9B54-2D2A-7230-924E1E330A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61960" y="2423160"/>
              <a:ext cx="145542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9.xml><?xml version="1.0" encoding="utf-8"?>
<xdr:wsDr xmlns:xdr="http://schemas.openxmlformats.org/drawingml/2006/spreadsheetDrawing" xmlns:a="http://schemas.openxmlformats.org/drawingml/2006/main">
  <xdr:twoCellAnchor>
    <xdr:from>
      <xdr:col>0</xdr:col>
      <xdr:colOff>99060</xdr:colOff>
      <xdr:row>11</xdr:row>
      <xdr:rowOff>60960</xdr:rowOff>
    </xdr:from>
    <xdr:to>
      <xdr:col>4</xdr:col>
      <xdr:colOff>403860</xdr:colOff>
      <xdr:row>27</xdr:row>
      <xdr:rowOff>121920</xdr:rowOff>
    </xdr:to>
    <xdr:graphicFrame macro="">
      <xdr:nvGraphicFramePr>
        <xdr:cNvPr id="2" name="Chart 1">
          <a:extLst>
            <a:ext uri="{FF2B5EF4-FFF2-40B4-BE49-F238E27FC236}">
              <a16:creationId xmlns:a16="http://schemas.microsoft.com/office/drawing/2014/main" id="{04C2125E-066C-4E2E-35C0-756390E01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480060</xdr:colOff>
      <xdr:row>15</xdr:row>
      <xdr:rowOff>95250</xdr:rowOff>
    </xdr:from>
    <xdr:to>
      <xdr:col>12</xdr:col>
      <xdr:colOff>68580</xdr:colOff>
      <xdr:row>30</xdr:row>
      <xdr:rowOff>152400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DE9ACD53-7E63-F729-977B-8931A1D765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63540" y="2609850"/>
              <a:ext cx="4434840" cy="2571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297180</xdr:colOff>
      <xdr:row>5</xdr:row>
      <xdr:rowOff>129540</xdr:rowOff>
    </xdr:from>
    <xdr:to>
      <xdr:col>9</xdr:col>
      <xdr:colOff>137160</xdr:colOff>
      <xdr:row>28</xdr:row>
      <xdr:rowOff>22860</xdr:rowOff>
    </xdr:to>
    <xdr:sp macro="" textlink="">
      <xdr:nvSpPr>
        <xdr:cNvPr id="2" name="Rectangle: Rounded Corners 1">
          <a:extLst>
            <a:ext uri="{FF2B5EF4-FFF2-40B4-BE49-F238E27FC236}">
              <a16:creationId xmlns:a16="http://schemas.microsoft.com/office/drawing/2014/main" id="{B3DEC1A8-7E44-B6DE-AF82-D6340BEE4402}"/>
            </a:ext>
          </a:extLst>
        </xdr:cNvPr>
        <xdr:cNvSpPr/>
      </xdr:nvSpPr>
      <xdr:spPr>
        <a:xfrm>
          <a:off x="3345180" y="967740"/>
          <a:ext cx="6629400" cy="38023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45720</xdr:colOff>
      <xdr:row>11</xdr:row>
      <xdr:rowOff>121920</xdr:rowOff>
    </xdr:from>
    <xdr:to>
      <xdr:col>3</xdr:col>
      <xdr:colOff>434340</xdr:colOff>
      <xdr:row>22</xdr:row>
      <xdr:rowOff>137160</xdr:rowOff>
    </xdr:to>
    <xdr:graphicFrame macro="">
      <xdr:nvGraphicFramePr>
        <xdr:cNvPr id="2" name="Chart 1">
          <a:extLst>
            <a:ext uri="{FF2B5EF4-FFF2-40B4-BE49-F238E27FC236}">
              <a16:creationId xmlns:a16="http://schemas.microsoft.com/office/drawing/2014/main" id="{328057E3-EC35-F6B9-D1F3-314E68813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670560</xdr:colOff>
      <xdr:row>12</xdr:row>
      <xdr:rowOff>38100</xdr:rowOff>
    </xdr:from>
    <xdr:to>
      <xdr:col>7</xdr:col>
      <xdr:colOff>548640</xdr:colOff>
      <xdr:row>23</xdr:row>
      <xdr:rowOff>45720</xdr:rowOff>
    </xdr:to>
    <xdr:graphicFrame macro="">
      <xdr:nvGraphicFramePr>
        <xdr:cNvPr id="3" name="Chart 2">
          <a:extLst>
            <a:ext uri="{FF2B5EF4-FFF2-40B4-BE49-F238E27FC236}">
              <a16:creationId xmlns:a16="http://schemas.microsoft.com/office/drawing/2014/main" id="{5C0B49E1-E0FC-A3FE-D90C-1189F600D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148814</xdr:colOff>
      <xdr:row>0</xdr:row>
      <xdr:rowOff>51547</xdr:rowOff>
    </xdr:from>
    <xdr:to>
      <xdr:col>27</xdr:col>
      <xdr:colOff>80681</xdr:colOff>
      <xdr:row>4</xdr:row>
      <xdr:rowOff>36307</xdr:rowOff>
    </xdr:to>
    <xdr:sp macro="" textlink="">
      <xdr:nvSpPr>
        <xdr:cNvPr id="2" name="Rectangle: Rounded Corners 1">
          <a:extLst>
            <a:ext uri="{FF2B5EF4-FFF2-40B4-BE49-F238E27FC236}">
              <a16:creationId xmlns:a16="http://schemas.microsoft.com/office/drawing/2014/main" id="{453CA7AF-A5B4-05BF-E37F-568A29EA3ABC}"/>
            </a:ext>
          </a:extLst>
        </xdr:cNvPr>
        <xdr:cNvSpPr/>
      </xdr:nvSpPr>
      <xdr:spPr>
        <a:xfrm>
          <a:off x="148814" y="51547"/>
          <a:ext cx="16391067" cy="666078"/>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u="sng">
              <a:solidFill>
                <a:srgbClr val="C00000"/>
              </a:solidFill>
              <a:latin typeface="+mj-lt"/>
            </a:rPr>
            <a:t>PLANTS DATA ANALYSIS</a:t>
          </a:r>
        </a:p>
      </xdr:txBody>
    </xdr:sp>
    <xdr:clientData/>
  </xdr:twoCellAnchor>
  <xdr:twoCellAnchor>
    <xdr:from>
      <xdr:col>0</xdr:col>
      <xdr:colOff>112507</xdr:colOff>
      <xdr:row>9</xdr:row>
      <xdr:rowOff>139401</xdr:rowOff>
    </xdr:from>
    <xdr:to>
      <xdr:col>8</xdr:col>
      <xdr:colOff>43927</xdr:colOff>
      <xdr:row>21</xdr:row>
      <xdr:rowOff>139401</xdr:rowOff>
    </xdr:to>
    <xdr:sp macro="" textlink="">
      <xdr:nvSpPr>
        <xdr:cNvPr id="4" name="Rectangle: Rounded Corners 3">
          <a:extLst>
            <a:ext uri="{FF2B5EF4-FFF2-40B4-BE49-F238E27FC236}">
              <a16:creationId xmlns:a16="http://schemas.microsoft.com/office/drawing/2014/main" id="{D3D18AF3-28B1-4C36-E3E2-A15A4607550F}"/>
            </a:ext>
          </a:extLst>
        </xdr:cNvPr>
        <xdr:cNvSpPr/>
      </xdr:nvSpPr>
      <xdr:spPr>
        <a:xfrm>
          <a:off x="112507" y="1672366"/>
          <a:ext cx="4808220" cy="2043953"/>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236220</xdr:colOff>
      <xdr:row>9</xdr:row>
      <xdr:rowOff>116542</xdr:rowOff>
    </xdr:from>
    <xdr:to>
      <xdr:col>16</xdr:col>
      <xdr:colOff>167640</xdr:colOff>
      <xdr:row>21</xdr:row>
      <xdr:rowOff>116541</xdr:rowOff>
    </xdr:to>
    <xdr:sp macro="" textlink="">
      <xdr:nvSpPr>
        <xdr:cNvPr id="5" name="Rectangle: Rounded Corners 4">
          <a:extLst>
            <a:ext uri="{FF2B5EF4-FFF2-40B4-BE49-F238E27FC236}">
              <a16:creationId xmlns:a16="http://schemas.microsoft.com/office/drawing/2014/main" id="{1A679BBD-12EB-4F5E-A89F-4866A4DFA58D}"/>
            </a:ext>
          </a:extLst>
        </xdr:cNvPr>
        <xdr:cNvSpPr/>
      </xdr:nvSpPr>
      <xdr:spPr>
        <a:xfrm>
          <a:off x="5113020" y="1649507"/>
          <a:ext cx="4808220" cy="2043952"/>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264443</xdr:colOff>
      <xdr:row>9</xdr:row>
      <xdr:rowOff>155985</xdr:rowOff>
    </xdr:from>
    <xdr:to>
      <xdr:col>24</xdr:col>
      <xdr:colOff>309928</xdr:colOff>
      <xdr:row>21</xdr:row>
      <xdr:rowOff>155985</xdr:rowOff>
    </xdr:to>
    <xdr:sp macro="" textlink="">
      <xdr:nvSpPr>
        <xdr:cNvPr id="6" name="Rectangle: Rounded Corners 5">
          <a:extLst>
            <a:ext uri="{FF2B5EF4-FFF2-40B4-BE49-F238E27FC236}">
              <a16:creationId xmlns:a16="http://schemas.microsoft.com/office/drawing/2014/main" id="{C635E268-0AC3-436C-BED8-D455183D9725}"/>
            </a:ext>
          </a:extLst>
        </xdr:cNvPr>
        <xdr:cNvSpPr/>
      </xdr:nvSpPr>
      <xdr:spPr>
        <a:xfrm>
          <a:off x="10018043" y="1688950"/>
          <a:ext cx="4922285" cy="2043953"/>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129093</xdr:colOff>
      <xdr:row>22</xdr:row>
      <xdr:rowOff>71271</xdr:rowOff>
    </xdr:from>
    <xdr:to>
      <xdr:col>8</xdr:col>
      <xdr:colOff>60513</xdr:colOff>
      <xdr:row>34</xdr:row>
      <xdr:rowOff>71270</xdr:rowOff>
    </xdr:to>
    <xdr:sp macro="" textlink="">
      <xdr:nvSpPr>
        <xdr:cNvPr id="7" name="Rectangle: Rounded Corners 6">
          <a:extLst>
            <a:ext uri="{FF2B5EF4-FFF2-40B4-BE49-F238E27FC236}">
              <a16:creationId xmlns:a16="http://schemas.microsoft.com/office/drawing/2014/main" id="{6CBADB59-7BF7-458F-A18D-56DAD3A42C82}"/>
            </a:ext>
          </a:extLst>
        </xdr:cNvPr>
        <xdr:cNvSpPr/>
      </xdr:nvSpPr>
      <xdr:spPr>
        <a:xfrm>
          <a:off x="129093" y="3818518"/>
          <a:ext cx="4808220" cy="2043952"/>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208430</xdr:colOff>
      <xdr:row>22</xdr:row>
      <xdr:rowOff>59168</xdr:rowOff>
    </xdr:from>
    <xdr:to>
      <xdr:col>16</xdr:col>
      <xdr:colOff>139850</xdr:colOff>
      <xdr:row>34</xdr:row>
      <xdr:rowOff>59168</xdr:rowOff>
    </xdr:to>
    <xdr:sp macro="" textlink="">
      <xdr:nvSpPr>
        <xdr:cNvPr id="8" name="Rectangle: Rounded Corners 7">
          <a:extLst>
            <a:ext uri="{FF2B5EF4-FFF2-40B4-BE49-F238E27FC236}">
              <a16:creationId xmlns:a16="http://schemas.microsoft.com/office/drawing/2014/main" id="{D32D737C-BC75-44D8-9243-CB9742E7D4ED}"/>
            </a:ext>
          </a:extLst>
        </xdr:cNvPr>
        <xdr:cNvSpPr/>
      </xdr:nvSpPr>
      <xdr:spPr>
        <a:xfrm>
          <a:off x="5085230" y="3806415"/>
          <a:ext cx="4808220" cy="2043953"/>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320041</xdr:colOff>
      <xdr:row>22</xdr:row>
      <xdr:rowOff>86508</xdr:rowOff>
    </xdr:from>
    <xdr:to>
      <xdr:col>24</xdr:col>
      <xdr:colOff>363391</xdr:colOff>
      <xdr:row>34</xdr:row>
      <xdr:rowOff>86508</xdr:rowOff>
    </xdr:to>
    <xdr:sp macro="" textlink="">
      <xdr:nvSpPr>
        <xdr:cNvPr id="9" name="Rectangle: Rounded Corners 8">
          <a:extLst>
            <a:ext uri="{FF2B5EF4-FFF2-40B4-BE49-F238E27FC236}">
              <a16:creationId xmlns:a16="http://schemas.microsoft.com/office/drawing/2014/main" id="{AC604FD8-E4AA-4F85-8875-C731F1188A9E}"/>
            </a:ext>
          </a:extLst>
        </xdr:cNvPr>
        <xdr:cNvSpPr/>
      </xdr:nvSpPr>
      <xdr:spPr>
        <a:xfrm>
          <a:off x="10073641" y="3833755"/>
          <a:ext cx="4920150" cy="2043953"/>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179295</xdr:colOff>
      <xdr:row>22</xdr:row>
      <xdr:rowOff>107578</xdr:rowOff>
    </xdr:from>
    <xdr:to>
      <xdr:col>8</xdr:col>
      <xdr:colOff>53789</xdr:colOff>
      <xdr:row>34</xdr:row>
      <xdr:rowOff>53789</xdr:rowOff>
    </xdr:to>
    <xdr:graphicFrame macro="">
      <xdr:nvGraphicFramePr>
        <xdr:cNvPr id="11" name="Chart 10">
          <a:extLst>
            <a:ext uri="{FF2B5EF4-FFF2-40B4-BE49-F238E27FC236}">
              <a16:creationId xmlns:a16="http://schemas.microsoft.com/office/drawing/2014/main" id="{27B4F8A2-BC01-4634-8918-D3C5A0D5D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274320</xdr:colOff>
      <xdr:row>10</xdr:row>
      <xdr:rowOff>0</xdr:rowOff>
    </xdr:from>
    <xdr:to>
      <xdr:col>16</xdr:col>
      <xdr:colOff>68580</xdr:colOff>
      <xdr:row>21</xdr:row>
      <xdr:rowOff>98611</xdr:rowOff>
    </xdr:to>
    <xdr:graphicFrame macro="">
      <xdr:nvGraphicFramePr>
        <xdr:cNvPr id="12" name="Chart 11">
          <a:extLst>
            <a:ext uri="{FF2B5EF4-FFF2-40B4-BE49-F238E27FC236}">
              <a16:creationId xmlns:a16="http://schemas.microsoft.com/office/drawing/2014/main" id="{FA937012-82FC-479D-9B94-77DAF5E9F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251013</xdr:colOff>
      <xdr:row>22</xdr:row>
      <xdr:rowOff>125506</xdr:rowOff>
    </xdr:from>
    <xdr:to>
      <xdr:col>16</xdr:col>
      <xdr:colOff>107577</xdr:colOff>
      <xdr:row>34</xdr:row>
      <xdr:rowOff>35858</xdr:rowOff>
    </xdr:to>
    <xdr:graphicFrame macro="">
      <xdr:nvGraphicFramePr>
        <xdr:cNvPr id="13" name="Chart 12">
          <a:extLst>
            <a:ext uri="{FF2B5EF4-FFF2-40B4-BE49-F238E27FC236}">
              <a16:creationId xmlns:a16="http://schemas.microsoft.com/office/drawing/2014/main" id="{75541154-AFF5-4DDE-BC95-A4D68D840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238973</xdr:colOff>
      <xdr:row>4</xdr:row>
      <xdr:rowOff>144438</xdr:rowOff>
    </xdr:from>
    <xdr:to>
      <xdr:col>5</xdr:col>
      <xdr:colOff>82390</xdr:colOff>
      <xdr:row>8</xdr:row>
      <xdr:rowOff>167299</xdr:rowOff>
    </xdr:to>
    <xdr:sp macro="" textlink="">
      <xdr:nvSpPr>
        <xdr:cNvPr id="3" name="Rectangle: Rounded Corners 2">
          <a:extLst>
            <a:ext uri="{FF2B5EF4-FFF2-40B4-BE49-F238E27FC236}">
              <a16:creationId xmlns:a16="http://schemas.microsoft.com/office/drawing/2014/main" id="{DCE5937F-A818-D829-F79C-50555063E4B8}"/>
            </a:ext>
          </a:extLst>
        </xdr:cNvPr>
        <xdr:cNvSpPr/>
      </xdr:nvSpPr>
      <xdr:spPr>
        <a:xfrm>
          <a:off x="238973" y="825756"/>
          <a:ext cx="2891417" cy="704178"/>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C00000"/>
              </a:solidFill>
            </a:rPr>
            <a:t>TOTAL</a:t>
          </a:r>
          <a:r>
            <a:rPr lang="en-IN" sz="1200" b="1" baseline="0">
              <a:solidFill>
                <a:srgbClr val="C00000"/>
              </a:solidFill>
            </a:rPr>
            <a:t> NO OF PLANT UNITS SOLD</a:t>
          </a:r>
          <a:endParaRPr lang="en-IN" sz="1200" b="1">
            <a:solidFill>
              <a:srgbClr val="C00000"/>
            </a:solidFill>
          </a:endParaRPr>
        </a:p>
      </xdr:txBody>
    </xdr:sp>
    <xdr:clientData/>
  </xdr:twoCellAnchor>
  <xdr:twoCellAnchor>
    <xdr:from>
      <xdr:col>5</xdr:col>
      <xdr:colOff>249092</xdr:colOff>
      <xdr:row>5</xdr:row>
      <xdr:rowOff>14535</xdr:rowOff>
    </xdr:from>
    <xdr:to>
      <xdr:col>10</xdr:col>
      <xdr:colOff>72572</xdr:colOff>
      <xdr:row>9</xdr:row>
      <xdr:rowOff>30352</xdr:rowOff>
    </xdr:to>
    <xdr:sp macro="" textlink="">
      <xdr:nvSpPr>
        <xdr:cNvPr id="21" name="Rectangle: Rounded Corners 20">
          <a:extLst>
            <a:ext uri="{FF2B5EF4-FFF2-40B4-BE49-F238E27FC236}">
              <a16:creationId xmlns:a16="http://schemas.microsoft.com/office/drawing/2014/main" id="{694449F3-083C-41FE-BE44-482F42668E43}"/>
            </a:ext>
          </a:extLst>
        </xdr:cNvPr>
        <xdr:cNvSpPr/>
      </xdr:nvSpPr>
      <xdr:spPr>
        <a:xfrm>
          <a:off x="3288021" y="830964"/>
          <a:ext cx="2862408" cy="668959"/>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00000"/>
              </a:solidFill>
            </a:rPr>
            <a:t>TOTAL REVENUE BY NURSERY</a:t>
          </a:r>
        </a:p>
      </xdr:txBody>
    </xdr:sp>
    <xdr:clientData/>
  </xdr:twoCellAnchor>
  <xdr:twoCellAnchor>
    <xdr:from>
      <xdr:col>10</xdr:col>
      <xdr:colOff>181491</xdr:colOff>
      <xdr:row>5</xdr:row>
      <xdr:rowOff>16093</xdr:rowOff>
    </xdr:from>
    <xdr:to>
      <xdr:col>15</xdr:col>
      <xdr:colOff>45356</xdr:colOff>
      <xdr:row>9</xdr:row>
      <xdr:rowOff>27215</xdr:rowOff>
    </xdr:to>
    <xdr:sp macro="" textlink="">
      <xdr:nvSpPr>
        <xdr:cNvPr id="22" name="Rectangle: Rounded Corners 21">
          <a:extLst>
            <a:ext uri="{FF2B5EF4-FFF2-40B4-BE49-F238E27FC236}">
              <a16:creationId xmlns:a16="http://schemas.microsoft.com/office/drawing/2014/main" id="{4BF07E1A-706B-429A-952C-D63F0306D8AC}"/>
            </a:ext>
          </a:extLst>
        </xdr:cNvPr>
        <xdr:cNvSpPr/>
      </xdr:nvSpPr>
      <xdr:spPr>
        <a:xfrm>
          <a:off x="6259348" y="832522"/>
          <a:ext cx="2902794" cy="664264"/>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00000"/>
              </a:solidFill>
              <a:latin typeface="+mj-lt"/>
            </a:rPr>
            <a:t>UNIQUE PLANT ID's</a:t>
          </a:r>
        </a:p>
      </xdr:txBody>
    </xdr:sp>
    <xdr:clientData/>
  </xdr:twoCellAnchor>
  <xdr:twoCellAnchor>
    <xdr:from>
      <xdr:col>15</xdr:col>
      <xdr:colOff>151716</xdr:colOff>
      <xdr:row>5</xdr:row>
      <xdr:rowOff>29306</xdr:rowOff>
    </xdr:from>
    <xdr:to>
      <xdr:col>20</xdr:col>
      <xdr:colOff>0</xdr:colOff>
      <xdr:row>9</xdr:row>
      <xdr:rowOff>18144</xdr:rowOff>
    </xdr:to>
    <xdr:sp macro="" textlink="">
      <xdr:nvSpPr>
        <xdr:cNvPr id="23" name="Rectangle: Rounded Corners 22">
          <a:extLst>
            <a:ext uri="{FF2B5EF4-FFF2-40B4-BE49-F238E27FC236}">
              <a16:creationId xmlns:a16="http://schemas.microsoft.com/office/drawing/2014/main" id="{799DEEB4-8B18-4D81-B518-A28E2D9274DA}"/>
            </a:ext>
          </a:extLst>
        </xdr:cNvPr>
        <xdr:cNvSpPr/>
      </xdr:nvSpPr>
      <xdr:spPr>
        <a:xfrm>
          <a:off x="9268502" y="845735"/>
          <a:ext cx="2887212" cy="64198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00000"/>
              </a:solidFill>
            </a:rPr>
            <a:t>AVERAGE REVENUE PER SALE</a:t>
          </a:r>
        </a:p>
      </xdr:txBody>
    </xdr:sp>
    <xdr:clientData/>
  </xdr:twoCellAnchor>
  <xdr:twoCellAnchor editAs="oneCell">
    <xdr:from>
      <xdr:col>0</xdr:col>
      <xdr:colOff>576002</xdr:colOff>
      <xdr:row>6</xdr:row>
      <xdr:rowOff>106338</xdr:rowOff>
    </xdr:from>
    <xdr:to>
      <xdr:col>4</xdr:col>
      <xdr:colOff>242537</xdr:colOff>
      <xdr:row>8</xdr:row>
      <xdr:rowOff>117928</xdr:rowOff>
    </xdr:to>
    <xdr:pic>
      <xdr:nvPicPr>
        <xdr:cNvPr id="29" name="Picture 28">
          <a:extLst>
            <a:ext uri="{FF2B5EF4-FFF2-40B4-BE49-F238E27FC236}">
              <a16:creationId xmlns:a16="http://schemas.microsoft.com/office/drawing/2014/main" id="{C5CAFADD-BBBD-4705-A0E9-A79A625FCE7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6002" y="1086052"/>
          <a:ext cx="2097678" cy="338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31037</xdr:colOff>
      <xdr:row>6</xdr:row>
      <xdr:rowOff>72955</xdr:rowOff>
    </xdr:from>
    <xdr:to>
      <xdr:col>9</xdr:col>
      <xdr:colOff>472997</xdr:colOff>
      <xdr:row>8</xdr:row>
      <xdr:rowOff>72955</xdr:rowOff>
    </xdr:to>
    <xdr:pic>
      <xdr:nvPicPr>
        <xdr:cNvPr id="32" name="Picture 31">
          <a:extLst>
            <a:ext uri="{FF2B5EF4-FFF2-40B4-BE49-F238E27FC236}">
              <a16:creationId xmlns:a16="http://schemas.microsoft.com/office/drawing/2014/main" id="{5F566449-349E-7DA3-5D51-4389A13638A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77751" y="1052669"/>
          <a:ext cx="2265317" cy="326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162538</xdr:colOff>
      <xdr:row>6</xdr:row>
      <xdr:rowOff>117289</xdr:rowOff>
    </xdr:from>
    <xdr:to>
      <xdr:col>13</xdr:col>
      <xdr:colOff>535918</xdr:colOff>
      <xdr:row>8</xdr:row>
      <xdr:rowOff>124909</xdr:rowOff>
    </xdr:to>
    <xdr:pic>
      <xdr:nvPicPr>
        <xdr:cNvPr id="33" name="Picture 32">
          <a:extLst>
            <a:ext uri="{FF2B5EF4-FFF2-40B4-BE49-F238E27FC236}">
              <a16:creationId xmlns:a16="http://schemas.microsoft.com/office/drawing/2014/main" id="{4EED875E-9777-08E7-A26C-1875253F81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848181" y="1097003"/>
          <a:ext cx="1588951" cy="334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117141</xdr:colOff>
      <xdr:row>6</xdr:row>
      <xdr:rowOff>138804</xdr:rowOff>
    </xdr:from>
    <xdr:to>
      <xdr:col>19</xdr:col>
      <xdr:colOff>86660</xdr:colOff>
      <xdr:row>8</xdr:row>
      <xdr:rowOff>66957</xdr:rowOff>
    </xdr:to>
    <xdr:pic>
      <xdr:nvPicPr>
        <xdr:cNvPr id="34" name="Picture 33">
          <a:extLst>
            <a:ext uri="{FF2B5EF4-FFF2-40B4-BE49-F238E27FC236}">
              <a16:creationId xmlns:a16="http://schemas.microsoft.com/office/drawing/2014/main" id="{7E5AC1F6-94B1-5E33-556B-BF418054AF8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841712" y="1118518"/>
          <a:ext cx="1792877" cy="254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312420</xdr:colOff>
      <xdr:row>10</xdr:row>
      <xdr:rowOff>83820</xdr:rowOff>
    </xdr:from>
    <xdr:to>
      <xdr:col>7</xdr:col>
      <xdr:colOff>556260</xdr:colOff>
      <xdr:row>21</xdr:row>
      <xdr:rowOff>45720</xdr:rowOff>
    </xdr:to>
    <xdr:graphicFrame macro="">
      <xdr:nvGraphicFramePr>
        <xdr:cNvPr id="35" name="Chart 34">
          <a:extLst>
            <a:ext uri="{FF2B5EF4-FFF2-40B4-BE49-F238E27FC236}">
              <a16:creationId xmlns:a16="http://schemas.microsoft.com/office/drawing/2014/main" id="{B62F6AD5-6216-430C-A1A5-BC9899851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371928</xdr:colOff>
      <xdr:row>10</xdr:row>
      <xdr:rowOff>70822</xdr:rowOff>
    </xdr:from>
    <xdr:to>
      <xdr:col>24</xdr:col>
      <xdr:colOff>353785</xdr:colOff>
      <xdr:row>21</xdr:row>
      <xdr:rowOff>108922</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613BC929-7962-43AE-B5C2-EBE8455824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125528" y="1747222"/>
              <a:ext cx="4858657" cy="1882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53786</xdr:colOff>
      <xdr:row>0</xdr:row>
      <xdr:rowOff>98612</xdr:rowOff>
    </xdr:from>
    <xdr:to>
      <xdr:col>10</xdr:col>
      <xdr:colOff>358586</xdr:colOff>
      <xdr:row>2</xdr:row>
      <xdr:rowOff>143435</xdr:rowOff>
    </xdr:to>
    <xdr:pic>
      <xdr:nvPicPr>
        <xdr:cNvPr id="14" name="Graphic 13" descr="Plant With Roots with solid fill">
          <a:extLst>
            <a:ext uri="{FF2B5EF4-FFF2-40B4-BE49-F238E27FC236}">
              <a16:creationId xmlns:a16="http://schemas.microsoft.com/office/drawing/2014/main" id="{9395BFDE-F2FA-E51C-753D-DDDDA21EAAD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40186" y="98612"/>
          <a:ext cx="914400" cy="385482"/>
        </a:xfrm>
        <a:prstGeom prst="rect">
          <a:avLst/>
        </a:prstGeom>
      </xdr:spPr>
    </xdr:pic>
    <xdr:clientData/>
  </xdr:twoCellAnchor>
  <xdr:twoCellAnchor>
    <xdr:from>
      <xdr:col>16</xdr:col>
      <xdr:colOff>367553</xdr:colOff>
      <xdr:row>22</xdr:row>
      <xdr:rowOff>116542</xdr:rowOff>
    </xdr:from>
    <xdr:to>
      <xdr:col>24</xdr:col>
      <xdr:colOff>322729</xdr:colOff>
      <xdr:row>34</xdr:row>
      <xdr:rowOff>71719</xdr:rowOff>
    </xdr:to>
    <xdr:graphicFrame macro="">
      <xdr:nvGraphicFramePr>
        <xdr:cNvPr id="16" name="Chart 15">
          <a:extLst>
            <a:ext uri="{FF2B5EF4-FFF2-40B4-BE49-F238E27FC236}">
              <a16:creationId xmlns:a16="http://schemas.microsoft.com/office/drawing/2014/main" id="{DE33D81E-2A77-40DA-9D4A-AED5818C5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466163</xdr:colOff>
      <xdr:row>4</xdr:row>
      <xdr:rowOff>116542</xdr:rowOff>
    </xdr:from>
    <xdr:to>
      <xdr:col>27</xdr:col>
      <xdr:colOff>134470</xdr:colOff>
      <xdr:row>34</xdr:row>
      <xdr:rowOff>80682</xdr:rowOff>
    </xdr:to>
    <xdr:sp macro="" textlink="">
      <xdr:nvSpPr>
        <xdr:cNvPr id="19" name="Rectangle: Rounded Corners 18">
          <a:extLst>
            <a:ext uri="{FF2B5EF4-FFF2-40B4-BE49-F238E27FC236}">
              <a16:creationId xmlns:a16="http://schemas.microsoft.com/office/drawing/2014/main" id="{57B48982-A01B-450F-1C23-FEEA1B095C04}"/>
            </a:ext>
          </a:extLst>
        </xdr:cNvPr>
        <xdr:cNvSpPr/>
      </xdr:nvSpPr>
      <xdr:spPr>
        <a:xfrm>
          <a:off x="15096563" y="797860"/>
          <a:ext cx="1497107" cy="5074022"/>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C00000"/>
              </a:solidFill>
            </a:rPr>
            <a:t>FILTER</a:t>
          </a:r>
        </a:p>
      </xdr:txBody>
    </xdr:sp>
    <xdr:clientData/>
  </xdr:twoCellAnchor>
  <xdr:twoCellAnchor editAs="oneCell">
    <xdr:from>
      <xdr:col>24</xdr:col>
      <xdr:colOff>537883</xdr:colOff>
      <xdr:row>7</xdr:row>
      <xdr:rowOff>2</xdr:rowOff>
    </xdr:from>
    <xdr:to>
      <xdr:col>27</xdr:col>
      <xdr:colOff>80683</xdr:colOff>
      <xdr:row>13</xdr:row>
      <xdr:rowOff>29136</xdr:rowOff>
    </xdr:to>
    <mc:AlternateContent xmlns:mc="http://schemas.openxmlformats.org/markup-compatibility/2006" xmlns:a14="http://schemas.microsoft.com/office/drawing/2010/main">
      <mc:Choice Requires="a14">
        <xdr:graphicFrame macro="">
          <xdr:nvGraphicFramePr>
            <xdr:cNvPr id="20" name="Nursery_Name 1">
              <a:extLst>
                <a:ext uri="{FF2B5EF4-FFF2-40B4-BE49-F238E27FC236}">
                  <a16:creationId xmlns:a16="http://schemas.microsoft.com/office/drawing/2014/main" id="{0348B39B-528E-40C9-910F-B8A8EB821AA5}"/>
                </a:ext>
              </a:extLst>
            </xdr:cNvPr>
            <xdr:cNvGraphicFramePr/>
          </xdr:nvGraphicFramePr>
          <xdr:xfrm>
            <a:off x="0" y="0"/>
            <a:ext cx="0" cy="0"/>
          </xdr:xfrm>
          <a:graphic>
            <a:graphicData uri="http://schemas.microsoft.com/office/drawing/2010/slicer">
              <sle:slicer xmlns:sle="http://schemas.microsoft.com/office/drawing/2010/slicer" name="Nursery_Name 1"/>
            </a:graphicData>
          </a:graphic>
        </xdr:graphicFrame>
      </mc:Choice>
      <mc:Fallback xmlns="">
        <xdr:sp macro="" textlink="">
          <xdr:nvSpPr>
            <xdr:cNvPr id="0" name=""/>
            <xdr:cNvSpPr>
              <a:spLocks noTextEdit="1"/>
            </xdr:cNvSpPr>
          </xdr:nvSpPr>
          <xdr:spPr>
            <a:xfrm>
              <a:off x="15168283" y="1192308"/>
              <a:ext cx="1371600" cy="1051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538444</xdr:colOff>
      <xdr:row>13</xdr:row>
      <xdr:rowOff>113738</xdr:rowOff>
    </xdr:from>
    <xdr:to>
      <xdr:col>27</xdr:col>
      <xdr:colOff>90208</xdr:colOff>
      <xdr:row>20</xdr:row>
      <xdr:rowOff>5043</xdr:rowOff>
    </xdr:to>
    <mc:AlternateContent xmlns:mc="http://schemas.openxmlformats.org/markup-compatibility/2006" xmlns:a14="http://schemas.microsoft.com/office/drawing/2010/main">
      <mc:Choice Requires="a14">
        <xdr:graphicFrame macro="">
          <xdr:nvGraphicFramePr>
            <xdr:cNvPr id="24" name="location 1">
              <a:extLst>
                <a:ext uri="{FF2B5EF4-FFF2-40B4-BE49-F238E27FC236}">
                  <a16:creationId xmlns:a16="http://schemas.microsoft.com/office/drawing/2014/main" id="{5949C237-7D2C-46FA-AED9-BFB2513497A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5168844" y="2328020"/>
              <a:ext cx="1380564" cy="1083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564778</xdr:colOff>
      <xdr:row>20</xdr:row>
      <xdr:rowOff>89647</xdr:rowOff>
    </xdr:from>
    <xdr:to>
      <xdr:col>27</xdr:col>
      <xdr:colOff>80682</xdr:colOff>
      <xdr:row>26</xdr:row>
      <xdr:rowOff>143435</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B3FE60F4-2F07-4DAE-ABEF-3B32254EDFA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195178" y="3496235"/>
              <a:ext cx="1344704" cy="1075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555811</xdr:colOff>
      <xdr:row>27</xdr:row>
      <xdr:rowOff>44822</xdr:rowOff>
    </xdr:from>
    <xdr:to>
      <xdr:col>27</xdr:col>
      <xdr:colOff>71717</xdr:colOff>
      <xdr:row>33</xdr:row>
      <xdr:rowOff>107574</xdr:rowOff>
    </xdr:to>
    <mc:AlternateContent xmlns:mc="http://schemas.openxmlformats.org/markup-compatibility/2006" xmlns:a14="http://schemas.microsoft.com/office/drawing/2010/main">
      <mc:Choice Requires="a14">
        <xdr:graphicFrame macro="">
          <xdr:nvGraphicFramePr>
            <xdr:cNvPr id="26" name="plant name 1">
              <a:extLst>
                <a:ext uri="{FF2B5EF4-FFF2-40B4-BE49-F238E27FC236}">
                  <a16:creationId xmlns:a16="http://schemas.microsoft.com/office/drawing/2014/main" id="{8D5092E3-DFD8-4B85-9FE4-CCE2B5431C94}"/>
                </a:ext>
              </a:extLst>
            </xdr:cNvPr>
            <xdr:cNvGraphicFramePr/>
          </xdr:nvGraphicFramePr>
          <xdr:xfrm>
            <a:off x="0" y="0"/>
            <a:ext cx="0" cy="0"/>
          </xdr:xfrm>
          <a:graphic>
            <a:graphicData uri="http://schemas.microsoft.com/office/drawing/2010/slicer">
              <sle:slicer xmlns:sle="http://schemas.microsoft.com/office/drawing/2010/slicer" name="plant name 1"/>
            </a:graphicData>
          </a:graphic>
        </xdr:graphicFrame>
      </mc:Choice>
      <mc:Fallback xmlns="">
        <xdr:sp macro="" textlink="">
          <xdr:nvSpPr>
            <xdr:cNvPr id="0" name=""/>
            <xdr:cNvSpPr>
              <a:spLocks noTextEdit="1"/>
            </xdr:cNvSpPr>
          </xdr:nvSpPr>
          <xdr:spPr>
            <a:xfrm>
              <a:off x="15186211" y="4643716"/>
              <a:ext cx="1344706" cy="1084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108858</xdr:colOff>
      <xdr:row>5</xdr:row>
      <xdr:rowOff>18142</xdr:rowOff>
    </xdr:from>
    <xdr:to>
      <xdr:col>24</xdr:col>
      <xdr:colOff>399143</xdr:colOff>
      <xdr:row>9</xdr:row>
      <xdr:rowOff>23417</xdr:rowOff>
    </xdr:to>
    <xdr:sp macro="" textlink="">
      <xdr:nvSpPr>
        <xdr:cNvPr id="27" name="Rectangle: Rounded Corners 26">
          <a:extLst>
            <a:ext uri="{FF2B5EF4-FFF2-40B4-BE49-F238E27FC236}">
              <a16:creationId xmlns:a16="http://schemas.microsoft.com/office/drawing/2014/main" id="{C5E2F51A-6612-4C8E-A240-E01EECF7F66F}"/>
            </a:ext>
          </a:extLst>
        </xdr:cNvPr>
        <xdr:cNvSpPr/>
      </xdr:nvSpPr>
      <xdr:spPr>
        <a:xfrm>
          <a:off x="12264572" y="834571"/>
          <a:ext cx="2721428" cy="658417"/>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00000"/>
              </a:solidFill>
            </a:rPr>
            <a:t>CURRENT INVENTORY UNITS</a:t>
          </a:r>
        </a:p>
      </xdr:txBody>
    </xdr:sp>
    <xdr:clientData/>
  </xdr:twoCellAnchor>
  <xdr:twoCellAnchor editAs="oneCell">
    <xdr:from>
      <xdr:col>20</xdr:col>
      <xdr:colOff>517073</xdr:colOff>
      <xdr:row>6</xdr:row>
      <xdr:rowOff>154213</xdr:rowOff>
    </xdr:from>
    <xdr:to>
      <xdr:col>23</xdr:col>
      <xdr:colOff>508000</xdr:colOff>
      <xdr:row>8</xdr:row>
      <xdr:rowOff>90714</xdr:rowOff>
    </xdr:to>
    <xdr:pic>
      <xdr:nvPicPr>
        <xdr:cNvPr id="30" name="Picture 29">
          <a:extLst>
            <a:ext uri="{FF2B5EF4-FFF2-40B4-BE49-F238E27FC236}">
              <a16:creationId xmlns:a16="http://schemas.microsoft.com/office/drawing/2014/main" id="{8291E939-7567-5406-B14F-2D620A38EE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672787" y="1133927"/>
          <a:ext cx="1814284" cy="263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285.078802199074" createdVersion="8" refreshedVersion="8" minRefreshableVersion="3" recordCount="500" xr:uid="{D9CE02C3-B1FD-4E67-8FA1-A50EF6169D7E}">
  <cacheSource type="worksheet">
    <worksheetSource ref="A1:J501" sheet="Plant_Sales"/>
  </cacheSource>
  <cacheFields count="10">
    <cacheField name="Sale_ID" numFmtId="0">
      <sharedItems containsSemiMixedTypes="0" containsString="0" containsNumber="1" containsInteger="1" minValue="3001" maxValue="3500"/>
    </cacheField>
    <cacheField name="Plant_ID" numFmtId="0">
      <sharedItems containsSemiMixedTypes="0" containsString="0" containsNumber="1" containsInteger="1" minValue="1003" maxValue="1500" count="320">
        <n v="1241"/>
        <n v="1359"/>
        <n v="1224"/>
        <n v="1379"/>
        <n v="1418"/>
        <n v="1412"/>
        <n v="1022"/>
        <n v="1438"/>
        <n v="1060"/>
        <n v="1444"/>
        <n v="1407"/>
        <n v="1222"/>
        <n v="1448"/>
        <n v="1172"/>
        <n v="1246"/>
        <n v="1229"/>
        <n v="1275"/>
        <n v="1114"/>
        <n v="1496"/>
        <n v="1478"/>
        <n v="1211"/>
        <n v="1295"/>
        <n v="1124"/>
        <n v="1179"/>
        <n v="1356"/>
        <n v="1020"/>
        <n v="1070"/>
        <n v="1385"/>
        <n v="1463"/>
        <n v="1306"/>
        <n v="1497"/>
        <n v="1046"/>
        <n v="1477"/>
        <n v="1121"/>
        <n v="1278"/>
        <n v="1163"/>
        <n v="1364"/>
        <n v="1167"/>
        <n v="1128"/>
        <n v="1301"/>
        <n v="1274"/>
        <n v="1157"/>
        <n v="1238"/>
        <n v="1315"/>
        <n v="1127"/>
        <n v="1165"/>
        <n v="1147"/>
        <n v="1197"/>
        <n v="1162"/>
        <n v="1025"/>
        <n v="1362"/>
        <n v="1311"/>
        <n v="1065"/>
        <n v="1093"/>
        <n v="1079"/>
        <n v="1348"/>
        <n v="1262"/>
        <n v="1191"/>
        <n v="1394"/>
        <n v="1270"/>
        <n v="1182"/>
        <n v="1400"/>
        <n v="1493"/>
        <n v="1289"/>
        <n v="1462"/>
        <n v="1374"/>
        <n v="1050"/>
        <n v="1490"/>
        <n v="1284"/>
        <n v="1370"/>
        <n v="1095"/>
        <n v="1089"/>
        <n v="1297"/>
        <n v="1377"/>
        <n v="1067"/>
        <n v="1231"/>
        <n v="1434"/>
        <n v="1307"/>
        <n v="1032"/>
        <n v="1189"/>
        <n v="1409"/>
        <n v="1453"/>
        <n v="1256"/>
        <n v="1447"/>
        <n v="1096"/>
        <n v="1432"/>
        <n v="1334"/>
        <n v="1443"/>
        <n v="1140"/>
        <n v="1088"/>
        <n v="1296"/>
        <n v="1101"/>
        <n v="1325"/>
        <n v="1003"/>
        <n v="1198"/>
        <n v="1024"/>
        <n v="1424"/>
        <n v="1279"/>
        <n v="1260"/>
        <n v="1459"/>
        <n v="1383"/>
        <n v="1116"/>
        <n v="1202"/>
        <n v="1080"/>
        <n v="1304"/>
        <n v="1414"/>
        <n v="1309"/>
        <n v="1427"/>
        <n v="1327"/>
        <n v="1131"/>
        <n v="1340"/>
        <n v="1460"/>
        <n v="1368"/>
        <n v="1484"/>
        <n v="1023"/>
        <n v="1302"/>
        <n v="1347"/>
        <n v="1193"/>
        <n v="1149"/>
        <n v="1318"/>
        <n v="1044"/>
        <n v="1137"/>
        <n v="1097"/>
        <n v="1215"/>
        <n v="1250"/>
        <n v="1437"/>
        <n v="1282"/>
        <n v="1030"/>
        <n v="1244"/>
        <n v="1404"/>
        <n v="1466"/>
        <n v="1104"/>
        <n v="1485"/>
        <n v="1235"/>
        <n v="1474"/>
        <n v="1342"/>
        <n v="1387"/>
        <n v="1144"/>
        <n v="1042"/>
        <n v="1480"/>
        <n v="1337"/>
        <n v="1266"/>
        <n v="1473"/>
        <n v="1276"/>
        <n v="1406"/>
        <n v="1102"/>
        <n v="1349"/>
        <n v="1316"/>
        <n v="1205"/>
        <n v="1423"/>
        <n v="1161"/>
        <n v="1449"/>
        <n v="1300"/>
        <n v="1129"/>
        <n v="1107"/>
        <n v="1040"/>
        <n v="1212"/>
        <n v="1492"/>
        <n v="1391"/>
        <n v="1261"/>
        <n v="1361"/>
        <n v="1355"/>
        <n v="1160"/>
        <n v="1313"/>
        <n v="1041"/>
        <n v="1454"/>
        <n v="1354"/>
        <n v="1290"/>
        <n v="1491"/>
        <n v="1314"/>
        <n v="1245"/>
        <n v="1365"/>
        <n v="1084"/>
        <n v="1150"/>
        <n v="1433"/>
        <n v="1293"/>
        <n v="1456"/>
        <n v="1112"/>
        <n v="1329"/>
        <n v="1209"/>
        <n v="1371"/>
        <n v="1195"/>
        <n v="1139"/>
        <n v="1285"/>
        <n v="1115"/>
        <n v="1216"/>
        <n v="1467"/>
        <n v="1308"/>
        <n v="1292"/>
        <n v="1482"/>
        <n v="1130"/>
        <n v="1126"/>
        <n v="1051"/>
        <n v="1380"/>
        <n v="1422"/>
        <n v="1105"/>
        <n v="1353"/>
        <n v="1155"/>
        <n v="1240"/>
        <n v="1429"/>
        <n v="1351"/>
        <n v="1009"/>
        <n v="1441"/>
        <n v="1489"/>
        <n v="1305"/>
        <n v="1048"/>
        <n v="1344"/>
        <n v="1488"/>
        <n v="1397"/>
        <n v="1081"/>
        <n v="1415"/>
        <n v="1494"/>
        <n v="1108"/>
        <n v="1188"/>
        <n v="1083"/>
        <n v="1458"/>
        <n v="1455"/>
        <n v="1034"/>
        <n v="1170"/>
        <n v="1446"/>
        <n v="1468"/>
        <n v="1117"/>
        <n v="1052"/>
        <n v="1393"/>
        <n v="1173"/>
        <n v="1389"/>
        <n v="1031"/>
        <n v="1439"/>
        <n v="1335"/>
        <n v="1154"/>
        <n v="1486"/>
        <n v="1037"/>
        <n v="1287"/>
        <n v="1413"/>
        <n v="1272"/>
        <n v="1110"/>
        <n v="1228"/>
        <n v="1257"/>
        <n v="1133"/>
        <n v="1192"/>
        <n v="1248"/>
        <n v="1390"/>
        <n v="1190"/>
        <n v="1181"/>
        <n v="1146"/>
        <n v="1500"/>
        <n v="1059"/>
        <n v="1183"/>
        <n v="1499"/>
        <n v="1472"/>
        <n v="1464"/>
        <n v="1200"/>
        <n v="1011"/>
        <n v="1007"/>
        <n v="1416"/>
        <n v="1420"/>
        <n v="1402"/>
        <n v="1263"/>
        <n v="1045"/>
        <n v="1072"/>
        <n v="1156"/>
        <n v="1047"/>
        <n v="1328"/>
        <n v="1185"/>
        <n v="1242"/>
        <n v="1269"/>
        <n v="1259"/>
        <n v="1252"/>
        <n v="1012"/>
        <n v="1343"/>
        <n v="1143"/>
        <n v="1136"/>
        <n v="1176"/>
        <n v="1029"/>
        <n v="1125"/>
        <n v="1109"/>
        <n v="1403"/>
        <n v="1006"/>
        <n v="1452"/>
        <n v="1159"/>
        <n v="1018"/>
        <n v="1169"/>
        <n v="1298"/>
        <n v="1254"/>
        <n v="1373"/>
        <n v="1376"/>
        <n v="1217"/>
        <n v="1120"/>
        <n v="1077"/>
        <n v="1461"/>
        <n v="1220"/>
        <n v="1152"/>
        <n v="1223"/>
        <n v="1310"/>
        <n v="1350"/>
        <n v="1232"/>
        <n v="1132"/>
        <n v="1333"/>
        <n v="1498"/>
        <n v="1426"/>
        <n v="1035"/>
        <n v="1068"/>
        <n v="1237"/>
        <n v="1062"/>
        <n v="1087"/>
        <n v="1396"/>
        <n v="1015"/>
        <n v="1239"/>
        <n v="1106"/>
        <n v="1113"/>
        <n v="1258"/>
        <n v="1303"/>
        <n v="1207"/>
        <n v="1428"/>
        <n v="1210"/>
        <n v="1366"/>
        <n v="1204"/>
        <n v="1174"/>
        <n v="1118"/>
        <n v="1430"/>
      </sharedItems>
    </cacheField>
    <cacheField name="Nursery_Name" numFmtId="0">
      <sharedItems count="5">
        <s v="NatureNest"/>
        <s v="EcoGarden"/>
        <s v="UrbanLeaf"/>
        <s v="GreenGrow"/>
        <s v="PlantHub"/>
      </sharedItems>
    </cacheField>
    <cacheField name="Units_Sold" numFmtId="0">
      <sharedItems containsSemiMixedTypes="0" containsString="0" containsNumber="1" containsInteger="1" minValue="1" maxValue="50"/>
    </cacheField>
    <cacheField name="Price_per_Unit" numFmtId="0">
      <sharedItems containsSemiMixedTypes="0" containsString="0" containsNumber="1" containsInteger="1" minValue="50" maxValue="500"/>
    </cacheField>
    <cacheField name="maximum revenue" numFmtId="0">
      <sharedItems containsSemiMixedTypes="0" containsString="0" containsNumber="1" containsInteger="1" minValue="110" maxValue="24500"/>
    </cacheField>
    <cacheField name="location" numFmtId="0">
      <sharedItems count="7">
        <s v="Pune"/>
        <s v="ROI"/>
        <s v="Mumbai"/>
        <s v="Bangalore"/>
        <s v="Chennai"/>
        <s v="Delhi"/>
        <s v="NA" u="1"/>
      </sharedItems>
    </cacheField>
    <cacheField name="plant name" numFmtId="0">
      <sharedItems count="10">
        <s v="Cactus"/>
        <s v="Orchid"/>
        <s v="Lily"/>
        <s v="Fern"/>
        <s v="Jasmine"/>
        <s v="Bamboo"/>
        <s v="Tulip"/>
        <s v="Palm"/>
        <s v="Aloe"/>
        <s v="Rose"/>
      </sharedItems>
    </cacheField>
    <cacheField name="category" numFmtId="0">
      <sharedItems count="5">
        <s v="Outdoor"/>
        <s v="Flower"/>
        <s v="Medicinal"/>
        <s v="Indoor"/>
        <s v="Succulent"/>
      </sharedItems>
    </cacheField>
    <cacheField name="stock quantity" numFmtId="0">
      <sharedItems containsMixedTypes="1" containsNumber="1" containsInteger="1" minValue="16" maxValue="499" count="163">
        <n v="464"/>
        <s v="NA"/>
        <n v="250"/>
        <n v="36"/>
        <n v="453"/>
        <n v="93"/>
        <n v="499"/>
        <n v="463"/>
        <n v="492"/>
        <n v="448"/>
        <n v="461"/>
        <n v="454"/>
        <n v="19"/>
        <n v="447"/>
        <n v="435"/>
        <n v="409"/>
        <n v="164"/>
        <n v="382"/>
        <n v="412"/>
        <n v="398"/>
        <n v="217"/>
        <n v="482"/>
        <n v="449"/>
        <n v="332"/>
        <n v="342"/>
        <n v="75"/>
        <n v="131"/>
        <n v="296"/>
        <n v="427"/>
        <n v="460"/>
        <n v="62"/>
        <n v="388"/>
        <n v="235"/>
        <n v="350"/>
        <n v="185"/>
        <n v="442"/>
        <n v="118"/>
        <n v="211"/>
        <n v="290"/>
        <n v="88"/>
        <n v="362"/>
        <n v="423"/>
        <n v="443"/>
        <n v="128"/>
        <n v="259"/>
        <n v="428"/>
        <n v="406"/>
        <n v="210"/>
        <n v="107"/>
        <n v="411"/>
        <n v="376"/>
        <n v="74"/>
        <n v="399"/>
        <n v="324"/>
        <n v="225"/>
        <n v="369"/>
        <n v="389"/>
        <n v="347"/>
        <n v="339"/>
        <n v="335"/>
        <n v="330"/>
        <n v="194"/>
        <n v="165"/>
        <n v="458"/>
        <n v="188"/>
        <n v="426"/>
        <n v="315"/>
        <n v="386"/>
        <n v="116"/>
        <n v="374"/>
        <n v="314"/>
        <n v="223"/>
        <n v="434"/>
        <n v="198"/>
        <n v="167"/>
        <n v="373"/>
        <n v="455"/>
        <n v="284"/>
        <n v="183"/>
        <n v="34"/>
        <n v="341"/>
        <n v="370"/>
        <n v="234"/>
        <n v="262"/>
        <n v="356"/>
        <n v="279"/>
        <n v="344"/>
        <n v="261"/>
        <n v="472"/>
        <n v="247"/>
        <n v="266"/>
        <n v="256"/>
        <n v="338"/>
        <n v="328"/>
        <n v="280"/>
        <n v="249"/>
        <n v="251"/>
        <n v="244"/>
        <n v="245"/>
        <n v="231"/>
        <n v="175"/>
        <n v="239"/>
        <n v="475"/>
        <n v="478"/>
        <n v="218"/>
        <n v="38"/>
        <n v="360"/>
        <n v="227"/>
        <n v="133"/>
        <n v="202"/>
        <n v="222"/>
        <n v="201"/>
        <n v="299"/>
        <n v="195"/>
        <n v="192"/>
        <n v="273"/>
        <n v="187"/>
        <n v="155"/>
        <n v="157"/>
        <n v="179"/>
        <n v="305"/>
        <n v="151"/>
        <n v="150"/>
        <n v="108"/>
        <n v="104"/>
        <n v="180"/>
        <n v="16"/>
        <n v="147"/>
        <n v="98"/>
        <n v="80"/>
        <n v="144"/>
        <n v="141"/>
        <n v="126"/>
        <n v="208"/>
        <n v="77"/>
        <n v="498"/>
        <n v="76"/>
        <n v="71"/>
        <n v="444"/>
        <n v="67"/>
        <n v="109"/>
        <n v="92"/>
        <n v="65"/>
        <n v="59"/>
        <n v="20"/>
        <n v="136"/>
        <n v="459"/>
        <n v="50"/>
        <n v="18"/>
        <n v="45"/>
        <n v="66"/>
        <n v="485"/>
        <n v="48"/>
        <n v="294"/>
        <n v="42"/>
        <n v="295"/>
        <n v="215"/>
        <n v="26"/>
        <n v="312"/>
        <n v="29"/>
        <n v="380"/>
        <n v="28"/>
        <n v="23"/>
      </sharedItems>
    </cacheField>
  </cacheFields>
  <extLst>
    <ext xmlns:x14="http://schemas.microsoft.com/office/spreadsheetml/2009/9/main" uri="{725AE2AE-9491-48be-B2B4-4EB974FC3084}">
      <x14:pivotCacheDefinition pivotCacheId="1232111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3094"/>
    <x v="0"/>
    <x v="0"/>
    <n v="5"/>
    <n v="359"/>
    <n v="1795"/>
    <x v="0"/>
    <x v="0"/>
    <x v="0"/>
    <x v="0"/>
  </r>
  <r>
    <n v="3309"/>
    <x v="1"/>
    <x v="0"/>
    <n v="50"/>
    <n v="480"/>
    <n v="24000"/>
    <x v="1"/>
    <x v="0"/>
    <x v="1"/>
    <x v="1"/>
  </r>
  <r>
    <n v="3368"/>
    <x v="2"/>
    <x v="1"/>
    <n v="49"/>
    <n v="477"/>
    <n v="23373"/>
    <x v="2"/>
    <x v="0"/>
    <x v="2"/>
    <x v="2"/>
  </r>
  <r>
    <n v="3329"/>
    <x v="3"/>
    <x v="2"/>
    <n v="49"/>
    <n v="500"/>
    <n v="24500"/>
    <x v="3"/>
    <x v="1"/>
    <x v="0"/>
    <x v="3"/>
  </r>
  <r>
    <n v="3277"/>
    <x v="4"/>
    <x v="3"/>
    <n v="45"/>
    <n v="494"/>
    <n v="22230"/>
    <x v="4"/>
    <x v="2"/>
    <x v="2"/>
    <x v="4"/>
  </r>
  <r>
    <n v="3228"/>
    <x v="5"/>
    <x v="3"/>
    <n v="44"/>
    <n v="435"/>
    <n v="19140"/>
    <x v="1"/>
    <x v="3"/>
    <x v="1"/>
    <x v="1"/>
  </r>
  <r>
    <n v="3154"/>
    <x v="6"/>
    <x v="4"/>
    <n v="50"/>
    <n v="441"/>
    <n v="22050"/>
    <x v="1"/>
    <x v="4"/>
    <x v="3"/>
    <x v="1"/>
  </r>
  <r>
    <n v="3030"/>
    <x v="7"/>
    <x v="1"/>
    <n v="44"/>
    <n v="483"/>
    <n v="21252"/>
    <x v="1"/>
    <x v="0"/>
    <x v="2"/>
    <x v="1"/>
  </r>
  <r>
    <n v="3011"/>
    <x v="8"/>
    <x v="4"/>
    <n v="50"/>
    <n v="271"/>
    <n v="13550"/>
    <x v="4"/>
    <x v="5"/>
    <x v="0"/>
    <x v="5"/>
  </r>
  <r>
    <n v="3299"/>
    <x v="9"/>
    <x v="0"/>
    <n v="44"/>
    <n v="426"/>
    <n v="18744"/>
    <x v="5"/>
    <x v="6"/>
    <x v="3"/>
    <x v="6"/>
  </r>
  <r>
    <n v="3252"/>
    <x v="10"/>
    <x v="0"/>
    <n v="29"/>
    <n v="391"/>
    <n v="11339"/>
    <x v="0"/>
    <x v="7"/>
    <x v="1"/>
    <x v="7"/>
  </r>
  <r>
    <n v="3259"/>
    <x v="9"/>
    <x v="2"/>
    <n v="4"/>
    <n v="180"/>
    <n v="720"/>
    <x v="5"/>
    <x v="6"/>
    <x v="3"/>
    <x v="6"/>
  </r>
  <r>
    <n v="3308"/>
    <x v="11"/>
    <x v="1"/>
    <n v="44"/>
    <n v="411"/>
    <n v="18084"/>
    <x v="5"/>
    <x v="2"/>
    <x v="1"/>
    <x v="8"/>
  </r>
  <r>
    <n v="3052"/>
    <x v="12"/>
    <x v="3"/>
    <n v="44"/>
    <n v="372"/>
    <n v="16368"/>
    <x v="1"/>
    <x v="2"/>
    <x v="1"/>
    <x v="1"/>
  </r>
  <r>
    <n v="3327"/>
    <x v="13"/>
    <x v="4"/>
    <n v="40"/>
    <n v="477"/>
    <n v="19080"/>
    <x v="4"/>
    <x v="4"/>
    <x v="4"/>
    <x v="9"/>
  </r>
  <r>
    <n v="3459"/>
    <x v="14"/>
    <x v="0"/>
    <n v="40"/>
    <n v="477"/>
    <n v="19080"/>
    <x v="1"/>
    <x v="1"/>
    <x v="4"/>
    <x v="1"/>
  </r>
  <r>
    <n v="3348"/>
    <x v="15"/>
    <x v="3"/>
    <n v="38"/>
    <n v="87"/>
    <n v="3306"/>
    <x v="0"/>
    <x v="6"/>
    <x v="1"/>
    <x v="10"/>
  </r>
  <r>
    <n v="3316"/>
    <x v="15"/>
    <x v="1"/>
    <n v="31"/>
    <n v="61"/>
    <n v="1891"/>
    <x v="0"/>
    <x v="6"/>
    <x v="1"/>
    <x v="10"/>
  </r>
  <r>
    <n v="3362"/>
    <x v="11"/>
    <x v="4"/>
    <n v="27"/>
    <n v="379"/>
    <n v="10233"/>
    <x v="5"/>
    <x v="2"/>
    <x v="1"/>
    <x v="8"/>
  </r>
  <r>
    <n v="3278"/>
    <x v="16"/>
    <x v="4"/>
    <n v="34"/>
    <n v="446"/>
    <n v="15164"/>
    <x v="1"/>
    <x v="3"/>
    <x v="1"/>
    <x v="1"/>
  </r>
  <r>
    <n v="3481"/>
    <x v="17"/>
    <x v="4"/>
    <n v="46"/>
    <n v="317"/>
    <n v="14582"/>
    <x v="1"/>
    <x v="0"/>
    <x v="1"/>
    <x v="1"/>
  </r>
  <r>
    <n v="3031"/>
    <x v="11"/>
    <x v="0"/>
    <n v="16"/>
    <n v="472"/>
    <n v="7552"/>
    <x v="5"/>
    <x v="2"/>
    <x v="1"/>
    <x v="8"/>
  </r>
  <r>
    <n v="3488"/>
    <x v="18"/>
    <x v="3"/>
    <n v="29"/>
    <n v="434"/>
    <n v="12586"/>
    <x v="1"/>
    <x v="0"/>
    <x v="1"/>
    <x v="1"/>
  </r>
  <r>
    <n v="3202"/>
    <x v="19"/>
    <x v="4"/>
    <n v="23"/>
    <n v="258"/>
    <n v="5934"/>
    <x v="0"/>
    <x v="5"/>
    <x v="0"/>
    <x v="11"/>
  </r>
  <r>
    <n v="3285"/>
    <x v="20"/>
    <x v="1"/>
    <n v="28"/>
    <n v="391"/>
    <n v="10948"/>
    <x v="1"/>
    <x v="6"/>
    <x v="1"/>
    <x v="1"/>
  </r>
  <r>
    <n v="3021"/>
    <x v="21"/>
    <x v="1"/>
    <n v="44"/>
    <n v="404"/>
    <n v="17776"/>
    <x v="2"/>
    <x v="6"/>
    <x v="2"/>
    <x v="12"/>
  </r>
  <r>
    <n v="3085"/>
    <x v="22"/>
    <x v="4"/>
    <n v="44"/>
    <n v="399"/>
    <n v="17556"/>
    <x v="3"/>
    <x v="8"/>
    <x v="3"/>
    <x v="13"/>
  </r>
  <r>
    <n v="3107"/>
    <x v="23"/>
    <x v="1"/>
    <n v="36"/>
    <n v="496"/>
    <n v="17856"/>
    <x v="3"/>
    <x v="4"/>
    <x v="1"/>
    <x v="14"/>
  </r>
  <r>
    <n v="3135"/>
    <x v="24"/>
    <x v="0"/>
    <n v="40"/>
    <n v="444"/>
    <n v="17760"/>
    <x v="3"/>
    <x v="5"/>
    <x v="3"/>
    <x v="15"/>
  </r>
  <r>
    <n v="3140"/>
    <x v="11"/>
    <x v="1"/>
    <n v="14"/>
    <n v="440"/>
    <n v="6160"/>
    <x v="5"/>
    <x v="2"/>
    <x v="1"/>
    <x v="8"/>
  </r>
  <r>
    <n v="3405"/>
    <x v="11"/>
    <x v="4"/>
    <n v="8"/>
    <n v="398"/>
    <n v="3184"/>
    <x v="5"/>
    <x v="2"/>
    <x v="1"/>
    <x v="8"/>
  </r>
  <r>
    <n v="3407"/>
    <x v="25"/>
    <x v="0"/>
    <n v="35"/>
    <n v="483"/>
    <n v="16905"/>
    <x v="2"/>
    <x v="7"/>
    <x v="4"/>
    <x v="16"/>
  </r>
  <r>
    <n v="3438"/>
    <x v="26"/>
    <x v="2"/>
    <n v="48"/>
    <n v="435"/>
    <n v="20880"/>
    <x v="1"/>
    <x v="4"/>
    <x v="0"/>
    <x v="1"/>
  </r>
  <r>
    <n v="3058"/>
    <x v="27"/>
    <x v="4"/>
    <n v="47"/>
    <n v="421"/>
    <n v="19787"/>
    <x v="1"/>
    <x v="4"/>
    <x v="0"/>
    <x v="1"/>
  </r>
  <r>
    <n v="3020"/>
    <x v="28"/>
    <x v="2"/>
    <n v="43"/>
    <n v="385"/>
    <n v="16555"/>
    <x v="4"/>
    <x v="2"/>
    <x v="4"/>
    <x v="17"/>
  </r>
  <r>
    <n v="3156"/>
    <x v="29"/>
    <x v="4"/>
    <n v="39"/>
    <n v="424"/>
    <n v="16536"/>
    <x v="2"/>
    <x v="2"/>
    <x v="2"/>
    <x v="18"/>
  </r>
  <r>
    <n v="3426"/>
    <x v="30"/>
    <x v="4"/>
    <n v="26"/>
    <n v="396"/>
    <n v="10296"/>
    <x v="1"/>
    <x v="3"/>
    <x v="1"/>
    <x v="1"/>
  </r>
  <r>
    <n v="3158"/>
    <x v="31"/>
    <x v="3"/>
    <n v="39"/>
    <n v="245"/>
    <n v="9555"/>
    <x v="1"/>
    <x v="3"/>
    <x v="1"/>
    <x v="1"/>
  </r>
  <r>
    <n v="3469"/>
    <x v="32"/>
    <x v="4"/>
    <n v="48"/>
    <n v="76"/>
    <n v="3648"/>
    <x v="3"/>
    <x v="2"/>
    <x v="4"/>
    <x v="19"/>
  </r>
  <r>
    <n v="3110"/>
    <x v="33"/>
    <x v="2"/>
    <n v="38"/>
    <n v="425"/>
    <n v="16150"/>
    <x v="1"/>
    <x v="9"/>
    <x v="2"/>
    <x v="1"/>
  </r>
  <r>
    <n v="3484"/>
    <x v="1"/>
    <x v="4"/>
    <n v="48"/>
    <n v="191"/>
    <n v="9168"/>
    <x v="1"/>
    <x v="0"/>
    <x v="1"/>
    <x v="1"/>
  </r>
  <r>
    <n v="3416"/>
    <x v="34"/>
    <x v="0"/>
    <n v="34"/>
    <n v="468"/>
    <n v="15912"/>
    <x v="1"/>
    <x v="0"/>
    <x v="2"/>
    <x v="1"/>
  </r>
  <r>
    <n v="3062"/>
    <x v="35"/>
    <x v="1"/>
    <n v="46"/>
    <n v="199"/>
    <n v="9154"/>
    <x v="1"/>
    <x v="4"/>
    <x v="1"/>
    <x v="1"/>
  </r>
  <r>
    <n v="3289"/>
    <x v="36"/>
    <x v="0"/>
    <n v="33"/>
    <n v="491"/>
    <n v="16203"/>
    <x v="3"/>
    <x v="1"/>
    <x v="4"/>
    <x v="20"/>
  </r>
  <r>
    <n v="3425"/>
    <x v="37"/>
    <x v="2"/>
    <n v="10"/>
    <n v="70"/>
    <n v="700"/>
    <x v="5"/>
    <x v="0"/>
    <x v="2"/>
    <x v="21"/>
  </r>
  <r>
    <n v="3384"/>
    <x v="38"/>
    <x v="4"/>
    <n v="43"/>
    <n v="358"/>
    <n v="15394"/>
    <x v="1"/>
    <x v="0"/>
    <x v="2"/>
    <x v="1"/>
  </r>
  <r>
    <n v="3500"/>
    <x v="39"/>
    <x v="2"/>
    <n v="35"/>
    <n v="438"/>
    <n v="15330"/>
    <x v="1"/>
    <x v="4"/>
    <x v="2"/>
    <x v="1"/>
  </r>
  <r>
    <n v="3462"/>
    <x v="40"/>
    <x v="3"/>
    <n v="25"/>
    <n v="309"/>
    <n v="7725"/>
    <x v="0"/>
    <x v="0"/>
    <x v="1"/>
    <x v="22"/>
  </r>
  <r>
    <n v="3192"/>
    <x v="41"/>
    <x v="1"/>
    <n v="26"/>
    <n v="321"/>
    <n v="8346"/>
    <x v="1"/>
    <x v="1"/>
    <x v="1"/>
    <x v="1"/>
  </r>
  <r>
    <n v="3436"/>
    <x v="42"/>
    <x v="0"/>
    <n v="42"/>
    <n v="378"/>
    <n v="15876"/>
    <x v="3"/>
    <x v="4"/>
    <x v="2"/>
    <x v="23"/>
  </r>
  <r>
    <n v="3026"/>
    <x v="43"/>
    <x v="1"/>
    <n v="40"/>
    <n v="377"/>
    <n v="15080"/>
    <x v="3"/>
    <x v="2"/>
    <x v="4"/>
    <x v="24"/>
  </r>
  <r>
    <n v="3470"/>
    <x v="32"/>
    <x v="4"/>
    <n v="31"/>
    <n v="70"/>
    <n v="2170"/>
    <x v="3"/>
    <x v="2"/>
    <x v="4"/>
    <x v="19"/>
  </r>
  <r>
    <n v="3428"/>
    <x v="44"/>
    <x v="0"/>
    <n v="48"/>
    <n v="313"/>
    <n v="15024"/>
    <x v="1"/>
    <x v="8"/>
    <x v="2"/>
    <x v="1"/>
  </r>
  <r>
    <n v="3059"/>
    <x v="45"/>
    <x v="0"/>
    <n v="18"/>
    <n v="450"/>
    <n v="8100"/>
    <x v="1"/>
    <x v="6"/>
    <x v="1"/>
    <x v="1"/>
  </r>
  <r>
    <n v="3450"/>
    <x v="46"/>
    <x v="1"/>
    <n v="31"/>
    <n v="483"/>
    <n v="14973"/>
    <x v="1"/>
    <x v="6"/>
    <x v="3"/>
    <x v="1"/>
  </r>
  <r>
    <n v="3387"/>
    <x v="18"/>
    <x v="1"/>
    <n v="31"/>
    <n v="232"/>
    <n v="7192"/>
    <x v="1"/>
    <x v="0"/>
    <x v="1"/>
    <x v="1"/>
  </r>
  <r>
    <n v="3005"/>
    <x v="47"/>
    <x v="4"/>
    <n v="50"/>
    <n v="295"/>
    <n v="14750"/>
    <x v="1"/>
    <x v="1"/>
    <x v="3"/>
    <x v="1"/>
  </r>
  <r>
    <n v="3412"/>
    <x v="28"/>
    <x v="1"/>
    <n v="50"/>
    <n v="295"/>
    <n v="14750"/>
    <x v="4"/>
    <x v="2"/>
    <x v="4"/>
    <x v="17"/>
  </r>
  <r>
    <n v="3055"/>
    <x v="48"/>
    <x v="2"/>
    <n v="46"/>
    <n v="431"/>
    <n v="19826"/>
    <x v="1"/>
    <x v="6"/>
    <x v="0"/>
    <x v="1"/>
  </r>
  <r>
    <n v="3064"/>
    <x v="49"/>
    <x v="1"/>
    <n v="35"/>
    <n v="195"/>
    <n v="6825"/>
    <x v="1"/>
    <x v="2"/>
    <x v="1"/>
    <x v="1"/>
  </r>
  <r>
    <n v="3284"/>
    <x v="50"/>
    <x v="3"/>
    <n v="36"/>
    <n v="406"/>
    <n v="14616"/>
    <x v="4"/>
    <x v="4"/>
    <x v="2"/>
    <x v="25"/>
  </r>
  <r>
    <n v="3161"/>
    <x v="51"/>
    <x v="3"/>
    <n v="28"/>
    <n v="240"/>
    <n v="6720"/>
    <x v="1"/>
    <x v="7"/>
    <x v="1"/>
    <x v="1"/>
  </r>
  <r>
    <n v="3332"/>
    <x v="52"/>
    <x v="0"/>
    <n v="31"/>
    <n v="470"/>
    <n v="14570"/>
    <x v="3"/>
    <x v="8"/>
    <x v="4"/>
    <x v="26"/>
  </r>
  <r>
    <n v="3232"/>
    <x v="53"/>
    <x v="3"/>
    <n v="44"/>
    <n v="385"/>
    <n v="16940"/>
    <x v="5"/>
    <x v="6"/>
    <x v="4"/>
    <x v="10"/>
  </r>
  <r>
    <n v="3218"/>
    <x v="54"/>
    <x v="1"/>
    <n v="31"/>
    <n v="191"/>
    <n v="5921"/>
    <x v="1"/>
    <x v="6"/>
    <x v="1"/>
    <x v="1"/>
  </r>
  <r>
    <n v="3265"/>
    <x v="55"/>
    <x v="0"/>
    <n v="31"/>
    <n v="460"/>
    <n v="14260"/>
    <x v="4"/>
    <x v="6"/>
    <x v="4"/>
    <x v="27"/>
  </r>
  <r>
    <n v="3126"/>
    <x v="56"/>
    <x v="1"/>
    <n v="45"/>
    <n v="316"/>
    <n v="14220"/>
    <x v="1"/>
    <x v="5"/>
    <x v="4"/>
    <x v="1"/>
  </r>
  <r>
    <n v="3050"/>
    <x v="57"/>
    <x v="0"/>
    <n v="49"/>
    <n v="285"/>
    <n v="13965"/>
    <x v="3"/>
    <x v="1"/>
    <x v="2"/>
    <x v="28"/>
  </r>
  <r>
    <n v="3180"/>
    <x v="58"/>
    <x v="0"/>
    <n v="49"/>
    <n v="285"/>
    <n v="13965"/>
    <x v="1"/>
    <x v="3"/>
    <x v="3"/>
    <x v="1"/>
  </r>
  <r>
    <n v="3317"/>
    <x v="59"/>
    <x v="2"/>
    <n v="45"/>
    <n v="181"/>
    <n v="8145"/>
    <x v="1"/>
    <x v="2"/>
    <x v="0"/>
    <x v="1"/>
  </r>
  <r>
    <n v="3448"/>
    <x v="60"/>
    <x v="2"/>
    <n v="33"/>
    <n v="323"/>
    <n v="10659"/>
    <x v="5"/>
    <x v="8"/>
    <x v="0"/>
    <x v="29"/>
  </r>
  <r>
    <n v="3456"/>
    <x v="61"/>
    <x v="1"/>
    <n v="33"/>
    <n v="413"/>
    <n v="13629"/>
    <x v="3"/>
    <x v="4"/>
    <x v="0"/>
    <x v="30"/>
  </r>
  <r>
    <n v="3256"/>
    <x v="62"/>
    <x v="3"/>
    <n v="38"/>
    <n v="357"/>
    <n v="13566"/>
    <x v="1"/>
    <x v="9"/>
    <x v="3"/>
    <x v="1"/>
  </r>
  <r>
    <n v="3280"/>
    <x v="60"/>
    <x v="4"/>
    <n v="50"/>
    <n v="78"/>
    <n v="3900"/>
    <x v="5"/>
    <x v="8"/>
    <x v="0"/>
    <x v="29"/>
  </r>
  <r>
    <n v="3418"/>
    <x v="63"/>
    <x v="4"/>
    <n v="35"/>
    <n v="387"/>
    <n v="13545"/>
    <x v="3"/>
    <x v="3"/>
    <x v="2"/>
    <x v="31"/>
  </r>
  <r>
    <n v="3390"/>
    <x v="64"/>
    <x v="1"/>
    <n v="34"/>
    <n v="393"/>
    <n v="13362"/>
    <x v="1"/>
    <x v="3"/>
    <x v="4"/>
    <x v="1"/>
  </r>
  <r>
    <n v="3127"/>
    <x v="60"/>
    <x v="1"/>
    <n v="13"/>
    <n v="223"/>
    <n v="2899"/>
    <x v="5"/>
    <x v="8"/>
    <x v="0"/>
    <x v="29"/>
  </r>
  <r>
    <n v="3175"/>
    <x v="65"/>
    <x v="1"/>
    <n v="41"/>
    <n v="337"/>
    <n v="13817"/>
    <x v="1"/>
    <x v="8"/>
    <x v="0"/>
    <x v="1"/>
  </r>
  <r>
    <n v="3120"/>
    <x v="66"/>
    <x v="4"/>
    <n v="41"/>
    <n v="294"/>
    <n v="12054"/>
    <x v="1"/>
    <x v="6"/>
    <x v="0"/>
    <x v="1"/>
  </r>
  <r>
    <n v="3379"/>
    <x v="67"/>
    <x v="0"/>
    <n v="34"/>
    <n v="389"/>
    <n v="13226"/>
    <x v="1"/>
    <x v="3"/>
    <x v="2"/>
    <x v="1"/>
  </r>
  <r>
    <n v="3221"/>
    <x v="68"/>
    <x v="2"/>
    <n v="34"/>
    <n v="74"/>
    <n v="2516"/>
    <x v="0"/>
    <x v="5"/>
    <x v="4"/>
    <x v="22"/>
  </r>
  <r>
    <n v="3200"/>
    <x v="69"/>
    <x v="1"/>
    <n v="13"/>
    <n v="391"/>
    <n v="5083"/>
    <x v="1"/>
    <x v="9"/>
    <x v="1"/>
    <x v="1"/>
  </r>
  <r>
    <n v="3176"/>
    <x v="58"/>
    <x v="2"/>
    <n v="32"/>
    <n v="406"/>
    <n v="12992"/>
    <x v="1"/>
    <x v="3"/>
    <x v="3"/>
    <x v="1"/>
  </r>
  <r>
    <n v="3301"/>
    <x v="70"/>
    <x v="1"/>
    <n v="35"/>
    <n v="364"/>
    <n v="12740"/>
    <x v="1"/>
    <x v="4"/>
    <x v="4"/>
    <x v="1"/>
  </r>
  <r>
    <n v="3313"/>
    <x v="71"/>
    <x v="2"/>
    <n v="27"/>
    <n v="471"/>
    <n v="12717"/>
    <x v="1"/>
    <x v="4"/>
    <x v="3"/>
    <x v="1"/>
  </r>
  <r>
    <n v="3170"/>
    <x v="45"/>
    <x v="0"/>
    <n v="27"/>
    <n v="188"/>
    <n v="5076"/>
    <x v="1"/>
    <x v="6"/>
    <x v="1"/>
    <x v="1"/>
  </r>
  <r>
    <n v="3077"/>
    <x v="72"/>
    <x v="4"/>
    <n v="47"/>
    <n v="265"/>
    <n v="12455"/>
    <x v="2"/>
    <x v="7"/>
    <x v="2"/>
    <x v="32"/>
  </r>
  <r>
    <n v="3124"/>
    <x v="73"/>
    <x v="0"/>
    <n v="50"/>
    <n v="249"/>
    <n v="12450"/>
    <x v="1"/>
    <x v="9"/>
    <x v="2"/>
    <x v="1"/>
  </r>
  <r>
    <n v="3018"/>
    <x v="74"/>
    <x v="3"/>
    <n v="40"/>
    <n v="131"/>
    <n v="5240"/>
    <x v="2"/>
    <x v="0"/>
    <x v="0"/>
    <x v="33"/>
  </r>
  <r>
    <n v="3001"/>
    <x v="61"/>
    <x v="2"/>
    <n v="32"/>
    <n v="381"/>
    <n v="12192"/>
    <x v="3"/>
    <x v="4"/>
    <x v="0"/>
    <x v="30"/>
  </r>
  <r>
    <n v="3092"/>
    <x v="75"/>
    <x v="4"/>
    <n v="34"/>
    <n v="352"/>
    <n v="11968"/>
    <x v="4"/>
    <x v="2"/>
    <x v="4"/>
    <x v="34"/>
  </r>
  <r>
    <n v="3172"/>
    <x v="68"/>
    <x v="0"/>
    <n v="9"/>
    <n v="110"/>
    <n v="990"/>
    <x v="0"/>
    <x v="5"/>
    <x v="4"/>
    <x v="22"/>
  </r>
  <r>
    <n v="3461"/>
    <x v="34"/>
    <x v="4"/>
    <n v="35"/>
    <n v="336"/>
    <n v="11760"/>
    <x v="1"/>
    <x v="0"/>
    <x v="2"/>
    <x v="1"/>
  </r>
  <r>
    <n v="3414"/>
    <x v="76"/>
    <x v="1"/>
    <n v="49"/>
    <n v="238"/>
    <n v="11662"/>
    <x v="4"/>
    <x v="7"/>
    <x v="2"/>
    <x v="5"/>
  </r>
  <r>
    <n v="3369"/>
    <x v="68"/>
    <x v="2"/>
    <n v="2"/>
    <n v="348"/>
    <n v="696"/>
    <x v="0"/>
    <x v="5"/>
    <x v="4"/>
    <x v="22"/>
  </r>
  <r>
    <n v="3016"/>
    <x v="52"/>
    <x v="2"/>
    <n v="44"/>
    <n v="263"/>
    <n v="11572"/>
    <x v="3"/>
    <x v="8"/>
    <x v="4"/>
    <x v="26"/>
  </r>
  <r>
    <n v="3219"/>
    <x v="77"/>
    <x v="1"/>
    <n v="11"/>
    <n v="254"/>
    <n v="2794"/>
    <x v="0"/>
    <x v="2"/>
    <x v="2"/>
    <x v="35"/>
  </r>
  <r>
    <n v="3045"/>
    <x v="78"/>
    <x v="4"/>
    <n v="39"/>
    <n v="62"/>
    <n v="2418"/>
    <x v="1"/>
    <x v="5"/>
    <x v="0"/>
    <x v="1"/>
  </r>
  <r>
    <n v="3363"/>
    <x v="20"/>
    <x v="0"/>
    <n v="11"/>
    <n v="440"/>
    <n v="4840"/>
    <x v="1"/>
    <x v="6"/>
    <x v="1"/>
    <x v="1"/>
  </r>
  <r>
    <n v="3179"/>
    <x v="58"/>
    <x v="0"/>
    <n v="32"/>
    <n v="353"/>
    <n v="11296"/>
    <x v="1"/>
    <x v="3"/>
    <x v="3"/>
    <x v="1"/>
  </r>
  <r>
    <n v="3443"/>
    <x v="79"/>
    <x v="4"/>
    <n v="30"/>
    <n v="62"/>
    <n v="1860"/>
    <x v="5"/>
    <x v="5"/>
    <x v="2"/>
    <x v="29"/>
  </r>
  <r>
    <n v="3458"/>
    <x v="80"/>
    <x v="1"/>
    <n v="37"/>
    <n v="301"/>
    <n v="11137"/>
    <x v="2"/>
    <x v="0"/>
    <x v="3"/>
    <x v="36"/>
  </r>
  <r>
    <n v="3105"/>
    <x v="81"/>
    <x v="4"/>
    <n v="33"/>
    <n v="335"/>
    <n v="11055"/>
    <x v="4"/>
    <x v="1"/>
    <x v="3"/>
    <x v="37"/>
  </r>
  <r>
    <n v="3137"/>
    <x v="12"/>
    <x v="2"/>
    <n v="10"/>
    <n v="464"/>
    <n v="4640"/>
    <x v="1"/>
    <x v="2"/>
    <x v="1"/>
    <x v="1"/>
  </r>
  <r>
    <n v="3288"/>
    <x v="16"/>
    <x v="3"/>
    <n v="18"/>
    <n v="245"/>
    <n v="4410"/>
    <x v="1"/>
    <x v="3"/>
    <x v="1"/>
    <x v="1"/>
  </r>
  <r>
    <n v="3271"/>
    <x v="35"/>
    <x v="4"/>
    <n v="25"/>
    <n v="156"/>
    <n v="3900"/>
    <x v="1"/>
    <x v="4"/>
    <x v="1"/>
    <x v="1"/>
  </r>
  <r>
    <n v="3432"/>
    <x v="49"/>
    <x v="3"/>
    <n v="10"/>
    <n v="338"/>
    <n v="3380"/>
    <x v="1"/>
    <x v="2"/>
    <x v="1"/>
    <x v="1"/>
  </r>
  <r>
    <n v="3351"/>
    <x v="82"/>
    <x v="4"/>
    <n v="19"/>
    <n v="124"/>
    <n v="2356"/>
    <x v="3"/>
    <x v="7"/>
    <x v="4"/>
    <x v="38"/>
  </r>
  <r>
    <n v="3116"/>
    <x v="83"/>
    <x v="3"/>
    <n v="37"/>
    <n v="390"/>
    <n v="14430"/>
    <x v="1"/>
    <x v="7"/>
    <x v="0"/>
    <x v="1"/>
  </r>
  <r>
    <n v="3129"/>
    <x v="84"/>
    <x v="2"/>
    <n v="36"/>
    <n v="295"/>
    <n v="10620"/>
    <x v="1"/>
    <x v="9"/>
    <x v="3"/>
    <x v="1"/>
  </r>
  <r>
    <n v="3246"/>
    <x v="85"/>
    <x v="3"/>
    <n v="37"/>
    <n v="215"/>
    <n v="7955"/>
    <x v="1"/>
    <x v="2"/>
    <x v="0"/>
    <x v="1"/>
  </r>
  <r>
    <n v="3123"/>
    <x v="79"/>
    <x v="0"/>
    <n v="4"/>
    <n v="51"/>
    <n v="204"/>
    <x v="5"/>
    <x v="5"/>
    <x v="2"/>
    <x v="29"/>
  </r>
  <r>
    <n v="3455"/>
    <x v="86"/>
    <x v="0"/>
    <n v="46"/>
    <n v="409"/>
    <n v="18814"/>
    <x v="0"/>
    <x v="6"/>
    <x v="2"/>
    <x v="14"/>
  </r>
  <r>
    <n v="3035"/>
    <x v="18"/>
    <x v="1"/>
    <n v="15"/>
    <n v="192"/>
    <n v="2880"/>
    <x v="1"/>
    <x v="0"/>
    <x v="1"/>
    <x v="1"/>
  </r>
  <r>
    <n v="3495"/>
    <x v="75"/>
    <x v="0"/>
    <n v="28"/>
    <n v="370"/>
    <n v="10360"/>
    <x v="4"/>
    <x v="2"/>
    <x v="4"/>
    <x v="34"/>
  </r>
  <r>
    <n v="3087"/>
    <x v="14"/>
    <x v="4"/>
    <n v="41"/>
    <n v="252"/>
    <n v="10332"/>
    <x v="1"/>
    <x v="1"/>
    <x v="4"/>
    <x v="1"/>
  </r>
  <r>
    <n v="3286"/>
    <x v="18"/>
    <x v="1"/>
    <n v="12"/>
    <n v="186"/>
    <n v="2232"/>
    <x v="1"/>
    <x v="0"/>
    <x v="1"/>
    <x v="1"/>
  </r>
  <r>
    <n v="3014"/>
    <x v="30"/>
    <x v="1"/>
    <n v="28"/>
    <n v="69"/>
    <n v="1932"/>
    <x v="1"/>
    <x v="3"/>
    <x v="1"/>
    <x v="1"/>
  </r>
  <r>
    <n v="3152"/>
    <x v="87"/>
    <x v="4"/>
    <n v="16"/>
    <n v="200"/>
    <n v="3200"/>
    <x v="0"/>
    <x v="4"/>
    <x v="4"/>
    <x v="14"/>
  </r>
  <r>
    <n v="3155"/>
    <x v="88"/>
    <x v="4"/>
    <n v="30"/>
    <n v="330"/>
    <n v="9900"/>
    <x v="1"/>
    <x v="0"/>
    <x v="4"/>
    <x v="1"/>
  </r>
  <r>
    <n v="3201"/>
    <x v="89"/>
    <x v="1"/>
    <n v="44"/>
    <n v="238"/>
    <n v="10472"/>
    <x v="3"/>
    <x v="9"/>
    <x v="1"/>
    <x v="39"/>
  </r>
  <r>
    <n v="3343"/>
    <x v="90"/>
    <x v="1"/>
    <n v="36"/>
    <n v="142"/>
    <n v="5112"/>
    <x v="1"/>
    <x v="4"/>
    <x v="0"/>
    <x v="1"/>
  </r>
  <r>
    <n v="3281"/>
    <x v="91"/>
    <x v="0"/>
    <n v="32"/>
    <n v="304"/>
    <n v="9728"/>
    <x v="2"/>
    <x v="1"/>
    <x v="2"/>
    <x v="40"/>
  </r>
  <r>
    <n v="3238"/>
    <x v="92"/>
    <x v="0"/>
    <n v="10"/>
    <n v="456"/>
    <n v="4560"/>
    <x v="0"/>
    <x v="5"/>
    <x v="0"/>
    <x v="41"/>
  </r>
  <r>
    <n v="3282"/>
    <x v="93"/>
    <x v="4"/>
    <n v="37"/>
    <n v="262"/>
    <n v="9694"/>
    <x v="1"/>
    <x v="9"/>
    <x v="3"/>
    <x v="1"/>
  </r>
  <r>
    <n v="3247"/>
    <x v="94"/>
    <x v="3"/>
    <n v="18"/>
    <n v="105"/>
    <n v="1890"/>
    <x v="1"/>
    <x v="9"/>
    <x v="1"/>
    <x v="1"/>
  </r>
  <r>
    <n v="3419"/>
    <x v="95"/>
    <x v="2"/>
    <n v="35"/>
    <n v="322"/>
    <n v="11270"/>
    <x v="5"/>
    <x v="2"/>
    <x v="3"/>
    <x v="42"/>
  </r>
  <r>
    <n v="3241"/>
    <x v="96"/>
    <x v="3"/>
    <n v="20"/>
    <n v="65"/>
    <n v="1300"/>
    <x v="0"/>
    <x v="7"/>
    <x v="2"/>
    <x v="41"/>
  </r>
  <r>
    <n v="3493"/>
    <x v="97"/>
    <x v="2"/>
    <n v="20"/>
    <n v="468"/>
    <n v="9360"/>
    <x v="1"/>
    <x v="4"/>
    <x v="2"/>
    <x v="1"/>
  </r>
  <r>
    <n v="3144"/>
    <x v="98"/>
    <x v="2"/>
    <n v="12"/>
    <n v="116"/>
    <n v="1392"/>
    <x v="1"/>
    <x v="2"/>
    <x v="1"/>
    <x v="1"/>
  </r>
  <r>
    <n v="3298"/>
    <x v="31"/>
    <x v="0"/>
    <n v="2"/>
    <n v="285"/>
    <n v="570"/>
    <x v="1"/>
    <x v="3"/>
    <x v="1"/>
    <x v="1"/>
  </r>
  <r>
    <n v="3006"/>
    <x v="99"/>
    <x v="4"/>
    <n v="35"/>
    <n v="118"/>
    <n v="4130"/>
    <x v="2"/>
    <x v="7"/>
    <x v="0"/>
    <x v="43"/>
  </r>
  <r>
    <n v="3004"/>
    <x v="100"/>
    <x v="0"/>
    <n v="19"/>
    <n v="478"/>
    <n v="9082"/>
    <x v="1"/>
    <x v="6"/>
    <x v="4"/>
    <x v="1"/>
  </r>
  <r>
    <n v="3080"/>
    <x v="101"/>
    <x v="3"/>
    <n v="25"/>
    <n v="363"/>
    <n v="9075"/>
    <x v="1"/>
    <x v="5"/>
    <x v="2"/>
    <x v="1"/>
  </r>
  <r>
    <n v="3303"/>
    <x v="102"/>
    <x v="3"/>
    <n v="34"/>
    <n v="268"/>
    <n v="9112"/>
    <x v="5"/>
    <x v="3"/>
    <x v="0"/>
    <x v="42"/>
  </r>
  <r>
    <n v="3114"/>
    <x v="95"/>
    <x v="4"/>
    <n v="21"/>
    <n v="410"/>
    <n v="8610"/>
    <x v="5"/>
    <x v="2"/>
    <x v="3"/>
    <x v="42"/>
  </r>
  <r>
    <n v="3090"/>
    <x v="103"/>
    <x v="4"/>
    <n v="50"/>
    <n v="181"/>
    <n v="9050"/>
    <x v="1"/>
    <x v="2"/>
    <x v="2"/>
    <x v="1"/>
  </r>
  <r>
    <n v="3251"/>
    <x v="104"/>
    <x v="4"/>
    <n v="46"/>
    <n v="196"/>
    <n v="9016"/>
    <x v="1"/>
    <x v="5"/>
    <x v="2"/>
    <x v="1"/>
  </r>
  <r>
    <n v="3212"/>
    <x v="13"/>
    <x v="2"/>
    <n v="32"/>
    <n v="279"/>
    <n v="8928"/>
    <x v="4"/>
    <x v="4"/>
    <x v="4"/>
    <x v="9"/>
  </r>
  <r>
    <n v="3367"/>
    <x v="105"/>
    <x v="2"/>
    <n v="49"/>
    <n v="200"/>
    <n v="9800"/>
    <x v="3"/>
    <x v="1"/>
    <x v="2"/>
    <x v="44"/>
  </r>
  <r>
    <n v="3067"/>
    <x v="106"/>
    <x v="3"/>
    <n v="19"/>
    <n v="461"/>
    <n v="8759"/>
    <x v="1"/>
    <x v="0"/>
    <x v="2"/>
    <x v="1"/>
  </r>
  <r>
    <n v="3043"/>
    <x v="107"/>
    <x v="2"/>
    <n v="28"/>
    <n v="314"/>
    <n v="8792"/>
    <x v="3"/>
    <x v="0"/>
    <x v="4"/>
    <x v="45"/>
  </r>
  <r>
    <n v="3130"/>
    <x v="108"/>
    <x v="3"/>
    <n v="45"/>
    <n v="73"/>
    <n v="3285"/>
    <x v="0"/>
    <x v="2"/>
    <x v="3"/>
    <x v="46"/>
  </r>
  <r>
    <n v="3054"/>
    <x v="102"/>
    <x v="4"/>
    <n v="25"/>
    <n v="241"/>
    <n v="6025"/>
    <x v="5"/>
    <x v="3"/>
    <x v="0"/>
    <x v="42"/>
  </r>
  <r>
    <n v="3039"/>
    <x v="109"/>
    <x v="4"/>
    <n v="27"/>
    <n v="316"/>
    <n v="8532"/>
    <x v="1"/>
    <x v="0"/>
    <x v="3"/>
    <x v="1"/>
  </r>
  <r>
    <n v="3160"/>
    <x v="110"/>
    <x v="0"/>
    <n v="47"/>
    <n v="184"/>
    <n v="8648"/>
    <x v="3"/>
    <x v="2"/>
    <x v="0"/>
    <x v="47"/>
  </r>
  <r>
    <n v="3196"/>
    <x v="111"/>
    <x v="0"/>
    <n v="19"/>
    <n v="448"/>
    <n v="8512"/>
    <x v="3"/>
    <x v="3"/>
    <x v="2"/>
    <x v="48"/>
  </r>
  <r>
    <n v="3319"/>
    <x v="95"/>
    <x v="1"/>
    <n v="35"/>
    <n v="64"/>
    <n v="2240"/>
    <x v="5"/>
    <x v="2"/>
    <x v="3"/>
    <x v="42"/>
  </r>
  <r>
    <n v="3234"/>
    <x v="112"/>
    <x v="0"/>
    <n v="7"/>
    <n v="104"/>
    <n v="728"/>
    <x v="5"/>
    <x v="9"/>
    <x v="3"/>
    <x v="18"/>
  </r>
  <r>
    <n v="3178"/>
    <x v="113"/>
    <x v="0"/>
    <n v="24"/>
    <n v="422"/>
    <n v="10128"/>
    <x v="5"/>
    <x v="4"/>
    <x v="0"/>
    <x v="49"/>
  </r>
  <r>
    <n v="3165"/>
    <x v="113"/>
    <x v="3"/>
    <n v="27"/>
    <n v="361"/>
    <n v="9747"/>
    <x v="5"/>
    <x v="4"/>
    <x v="0"/>
    <x v="49"/>
  </r>
  <r>
    <n v="3229"/>
    <x v="114"/>
    <x v="4"/>
    <n v="39"/>
    <n v="453"/>
    <n v="17667"/>
    <x v="0"/>
    <x v="5"/>
    <x v="0"/>
    <x v="50"/>
  </r>
  <r>
    <n v="3063"/>
    <x v="115"/>
    <x v="4"/>
    <n v="33"/>
    <n v="67"/>
    <n v="2211"/>
    <x v="1"/>
    <x v="2"/>
    <x v="0"/>
    <x v="1"/>
  </r>
  <r>
    <n v="3346"/>
    <x v="116"/>
    <x v="4"/>
    <n v="35"/>
    <n v="232"/>
    <n v="8120"/>
    <x v="2"/>
    <x v="5"/>
    <x v="3"/>
    <x v="51"/>
  </r>
  <r>
    <n v="3073"/>
    <x v="117"/>
    <x v="1"/>
    <n v="35"/>
    <n v="486"/>
    <n v="17010"/>
    <x v="5"/>
    <x v="4"/>
    <x v="4"/>
    <x v="52"/>
  </r>
  <r>
    <n v="3117"/>
    <x v="118"/>
    <x v="0"/>
    <n v="23"/>
    <n v="350"/>
    <n v="8050"/>
    <x v="2"/>
    <x v="6"/>
    <x v="4"/>
    <x v="53"/>
  </r>
  <r>
    <n v="3088"/>
    <x v="117"/>
    <x v="2"/>
    <n v="28"/>
    <n v="224"/>
    <n v="6272"/>
    <x v="5"/>
    <x v="4"/>
    <x v="4"/>
    <x v="52"/>
  </r>
  <r>
    <n v="3471"/>
    <x v="119"/>
    <x v="2"/>
    <n v="31"/>
    <n v="258"/>
    <n v="7998"/>
    <x v="1"/>
    <x v="7"/>
    <x v="4"/>
    <x v="1"/>
  </r>
  <r>
    <n v="3032"/>
    <x v="120"/>
    <x v="0"/>
    <n v="32"/>
    <n v="471"/>
    <n v="15072"/>
    <x v="1"/>
    <x v="2"/>
    <x v="0"/>
    <x v="1"/>
  </r>
  <r>
    <n v="3275"/>
    <x v="121"/>
    <x v="1"/>
    <n v="25"/>
    <n v="317"/>
    <n v="7925"/>
    <x v="1"/>
    <x v="9"/>
    <x v="2"/>
    <x v="1"/>
  </r>
  <r>
    <n v="3051"/>
    <x v="114"/>
    <x v="3"/>
    <n v="36"/>
    <n v="428"/>
    <n v="15408"/>
    <x v="0"/>
    <x v="5"/>
    <x v="0"/>
    <x v="50"/>
  </r>
  <r>
    <n v="3109"/>
    <x v="122"/>
    <x v="2"/>
    <n v="24"/>
    <n v="328"/>
    <n v="7872"/>
    <x v="4"/>
    <x v="7"/>
    <x v="2"/>
    <x v="54"/>
  </r>
  <r>
    <n v="3374"/>
    <x v="123"/>
    <x v="0"/>
    <n v="44"/>
    <n v="363"/>
    <n v="15972"/>
    <x v="0"/>
    <x v="5"/>
    <x v="1"/>
    <x v="55"/>
  </r>
  <r>
    <n v="3487"/>
    <x v="124"/>
    <x v="2"/>
    <n v="14"/>
    <n v="105"/>
    <n v="1470"/>
    <x v="5"/>
    <x v="8"/>
    <x v="2"/>
    <x v="56"/>
  </r>
  <r>
    <n v="3057"/>
    <x v="125"/>
    <x v="1"/>
    <n v="36"/>
    <n v="124"/>
    <n v="4464"/>
    <x v="0"/>
    <x v="8"/>
    <x v="3"/>
    <x v="57"/>
  </r>
  <r>
    <n v="3139"/>
    <x v="126"/>
    <x v="0"/>
    <n v="32"/>
    <n v="69"/>
    <n v="2208"/>
    <x v="1"/>
    <x v="6"/>
    <x v="0"/>
    <x v="1"/>
  </r>
  <r>
    <n v="3430"/>
    <x v="127"/>
    <x v="0"/>
    <n v="41"/>
    <n v="186"/>
    <n v="7626"/>
    <x v="1"/>
    <x v="0"/>
    <x v="2"/>
    <x v="1"/>
  </r>
  <r>
    <n v="3383"/>
    <x v="128"/>
    <x v="1"/>
    <n v="15"/>
    <n v="260"/>
    <n v="3900"/>
    <x v="0"/>
    <x v="0"/>
    <x v="1"/>
    <x v="58"/>
  </r>
  <r>
    <n v="3486"/>
    <x v="43"/>
    <x v="3"/>
    <n v="28"/>
    <n v="271"/>
    <n v="7588"/>
    <x v="3"/>
    <x v="2"/>
    <x v="4"/>
    <x v="24"/>
  </r>
  <r>
    <n v="3305"/>
    <x v="129"/>
    <x v="4"/>
    <n v="44"/>
    <n v="264"/>
    <n v="11616"/>
    <x v="0"/>
    <x v="4"/>
    <x v="3"/>
    <x v="59"/>
  </r>
  <r>
    <n v="3188"/>
    <x v="130"/>
    <x v="1"/>
    <n v="26"/>
    <n v="292"/>
    <n v="7592"/>
    <x v="0"/>
    <x v="9"/>
    <x v="4"/>
    <x v="60"/>
  </r>
  <r>
    <n v="3237"/>
    <x v="131"/>
    <x v="3"/>
    <n v="16"/>
    <n v="443"/>
    <n v="7088"/>
    <x v="3"/>
    <x v="2"/>
    <x v="1"/>
    <x v="61"/>
  </r>
  <r>
    <n v="3086"/>
    <x v="132"/>
    <x v="1"/>
    <n v="46"/>
    <n v="160"/>
    <n v="7360"/>
    <x v="2"/>
    <x v="6"/>
    <x v="4"/>
    <x v="62"/>
  </r>
  <r>
    <n v="3460"/>
    <x v="133"/>
    <x v="4"/>
    <n v="31"/>
    <n v="237"/>
    <n v="7347"/>
    <x v="1"/>
    <x v="9"/>
    <x v="0"/>
    <x v="1"/>
  </r>
  <r>
    <n v="3222"/>
    <x v="62"/>
    <x v="0"/>
    <n v="29"/>
    <n v="253"/>
    <n v="7337"/>
    <x v="1"/>
    <x v="9"/>
    <x v="3"/>
    <x v="1"/>
  </r>
  <r>
    <n v="3472"/>
    <x v="134"/>
    <x v="4"/>
    <n v="22"/>
    <n v="330"/>
    <n v="7260"/>
    <x v="1"/>
    <x v="5"/>
    <x v="2"/>
    <x v="1"/>
  </r>
  <r>
    <n v="3003"/>
    <x v="135"/>
    <x v="1"/>
    <n v="38"/>
    <n v="58"/>
    <n v="2204"/>
    <x v="0"/>
    <x v="7"/>
    <x v="1"/>
    <x v="60"/>
  </r>
  <r>
    <n v="3382"/>
    <x v="136"/>
    <x v="3"/>
    <n v="46"/>
    <n v="181"/>
    <n v="8326"/>
    <x v="2"/>
    <x v="4"/>
    <x v="1"/>
    <x v="63"/>
  </r>
  <r>
    <n v="3093"/>
    <x v="137"/>
    <x v="2"/>
    <n v="18"/>
    <n v="396"/>
    <n v="7128"/>
    <x v="4"/>
    <x v="0"/>
    <x v="2"/>
    <x v="64"/>
  </r>
  <r>
    <n v="3266"/>
    <x v="138"/>
    <x v="4"/>
    <n v="25"/>
    <n v="285"/>
    <n v="7125"/>
    <x v="4"/>
    <x v="0"/>
    <x v="3"/>
    <x v="65"/>
  </r>
  <r>
    <n v="3013"/>
    <x v="139"/>
    <x v="4"/>
    <n v="23"/>
    <n v="291"/>
    <n v="6693"/>
    <x v="0"/>
    <x v="7"/>
    <x v="2"/>
    <x v="66"/>
  </r>
  <r>
    <n v="3491"/>
    <x v="104"/>
    <x v="0"/>
    <n v="19"/>
    <n v="373"/>
    <n v="7087"/>
    <x v="1"/>
    <x v="5"/>
    <x v="2"/>
    <x v="1"/>
  </r>
  <r>
    <n v="3366"/>
    <x v="140"/>
    <x v="0"/>
    <n v="18"/>
    <n v="373"/>
    <n v="6714"/>
    <x v="5"/>
    <x v="9"/>
    <x v="0"/>
    <x v="67"/>
  </r>
  <r>
    <n v="3417"/>
    <x v="58"/>
    <x v="0"/>
    <n v="30"/>
    <n v="235"/>
    <n v="7050"/>
    <x v="1"/>
    <x v="3"/>
    <x v="3"/>
    <x v="1"/>
  </r>
  <r>
    <n v="3106"/>
    <x v="141"/>
    <x v="1"/>
    <n v="40"/>
    <n v="175"/>
    <n v="7000"/>
    <x v="2"/>
    <x v="6"/>
    <x v="3"/>
    <x v="68"/>
  </r>
  <r>
    <n v="3372"/>
    <x v="142"/>
    <x v="0"/>
    <n v="17"/>
    <n v="337"/>
    <n v="5729"/>
    <x v="5"/>
    <x v="9"/>
    <x v="1"/>
    <x v="69"/>
  </r>
  <r>
    <n v="3429"/>
    <x v="52"/>
    <x v="4"/>
    <n v="46"/>
    <n v="486"/>
    <n v="22356"/>
    <x v="3"/>
    <x v="8"/>
    <x v="4"/>
    <x v="26"/>
  </r>
  <r>
    <n v="3216"/>
    <x v="143"/>
    <x v="0"/>
    <n v="41"/>
    <n v="169"/>
    <n v="6929"/>
    <x v="1"/>
    <x v="2"/>
    <x v="2"/>
    <x v="1"/>
  </r>
  <r>
    <n v="3220"/>
    <x v="144"/>
    <x v="2"/>
    <n v="22"/>
    <n v="314"/>
    <n v="6908"/>
    <x v="1"/>
    <x v="1"/>
    <x v="2"/>
    <x v="1"/>
  </r>
  <r>
    <n v="3482"/>
    <x v="145"/>
    <x v="1"/>
    <n v="45"/>
    <n v="233"/>
    <n v="10485"/>
    <x v="0"/>
    <x v="9"/>
    <x v="2"/>
    <x v="70"/>
  </r>
  <r>
    <n v="3267"/>
    <x v="146"/>
    <x v="2"/>
    <n v="39"/>
    <n v="176"/>
    <n v="6864"/>
    <x v="4"/>
    <x v="4"/>
    <x v="4"/>
    <x v="71"/>
  </r>
  <r>
    <n v="3189"/>
    <x v="147"/>
    <x v="3"/>
    <n v="35"/>
    <n v="196"/>
    <n v="6860"/>
    <x v="1"/>
    <x v="5"/>
    <x v="3"/>
    <x v="1"/>
  </r>
  <r>
    <n v="3494"/>
    <x v="148"/>
    <x v="2"/>
    <n v="38"/>
    <n v="492"/>
    <n v="18696"/>
    <x v="2"/>
    <x v="9"/>
    <x v="1"/>
    <x v="72"/>
  </r>
  <r>
    <n v="3215"/>
    <x v="82"/>
    <x v="1"/>
    <n v="14"/>
    <n v="475"/>
    <n v="6650"/>
    <x v="3"/>
    <x v="7"/>
    <x v="4"/>
    <x v="38"/>
  </r>
  <r>
    <n v="3483"/>
    <x v="7"/>
    <x v="3"/>
    <n v="35"/>
    <n v="194"/>
    <n v="6790"/>
    <x v="1"/>
    <x v="0"/>
    <x v="2"/>
    <x v="1"/>
  </r>
  <r>
    <n v="3198"/>
    <x v="148"/>
    <x v="3"/>
    <n v="21"/>
    <n v="228"/>
    <n v="4788"/>
    <x v="2"/>
    <x v="9"/>
    <x v="1"/>
    <x v="72"/>
  </r>
  <r>
    <n v="3263"/>
    <x v="149"/>
    <x v="0"/>
    <n v="20"/>
    <n v="336"/>
    <n v="6720"/>
    <x v="2"/>
    <x v="3"/>
    <x v="2"/>
    <x v="73"/>
  </r>
  <r>
    <n v="3297"/>
    <x v="150"/>
    <x v="2"/>
    <n v="29"/>
    <n v="150"/>
    <n v="4350"/>
    <x v="4"/>
    <x v="5"/>
    <x v="0"/>
    <x v="74"/>
  </r>
  <r>
    <n v="3358"/>
    <x v="145"/>
    <x v="0"/>
    <n v="45"/>
    <n v="71"/>
    <n v="3195"/>
    <x v="0"/>
    <x v="9"/>
    <x v="2"/>
    <x v="70"/>
  </r>
  <r>
    <n v="3214"/>
    <x v="148"/>
    <x v="3"/>
    <n v="12"/>
    <n v="237"/>
    <n v="2844"/>
    <x v="2"/>
    <x v="9"/>
    <x v="1"/>
    <x v="72"/>
  </r>
  <r>
    <n v="3360"/>
    <x v="111"/>
    <x v="3"/>
    <n v="33"/>
    <n v="199"/>
    <n v="6567"/>
    <x v="3"/>
    <x v="3"/>
    <x v="2"/>
    <x v="48"/>
  </r>
  <r>
    <n v="3307"/>
    <x v="151"/>
    <x v="3"/>
    <n v="44"/>
    <n v="361"/>
    <n v="15884"/>
    <x v="5"/>
    <x v="9"/>
    <x v="1"/>
    <x v="75"/>
  </r>
  <r>
    <n v="3302"/>
    <x v="57"/>
    <x v="0"/>
    <n v="36"/>
    <n v="182"/>
    <n v="6552"/>
    <x v="3"/>
    <x v="1"/>
    <x v="2"/>
    <x v="28"/>
  </r>
  <r>
    <n v="3037"/>
    <x v="152"/>
    <x v="2"/>
    <n v="23"/>
    <n v="274"/>
    <n v="6302"/>
    <x v="3"/>
    <x v="5"/>
    <x v="2"/>
    <x v="76"/>
  </r>
  <r>
    <n v="3293"/>
    <x v="153"/>
    <x v="4"/>
    <n v="44"/>
    <n v="148"/>
    <n v="6512"/>
    <x v="1"/>
    <x v="1"/>
    <x v="4"/>
    <x v="1"/>
  </r>
  <r>
    <n v="3211"/>
    <x v="154"/>
    <x v="3"/>
    <n v="42"/>
    <n v="363"/>
    <n v="15246"/>
    <x v="0"/>
    <x v="2"/>
    <x v="3"/>
    <x v="77"/>
  </r>
  <r>
    <n v="3194"/>
    <x v="62"/>
    <x v="4"/>
    <n v="19"/>
    <n v="337"/>
    <n v="6403"/>
    <x v="1"/>
    <x v="9"/>
    <x v="3"/>
    <x v="1"/>
  </r>
  <r>
    <n v="3115"/>
    <x v="155"/>
    <x v="1"/>
    <n v="16"/>
    <n v="392"/>
    <n v="6272"/>
    <x v="3"/>
    <x v="0"/>
    <x v="2"/>
    <x v="78"/>
  </r>
  <r>
    <n v="3082"/>
    <x v="151"/>
    <x v="1"/>
    <n v="21"/>
    <n v="381"/>
    <n v="8001"/>
    <x v="5"/>
    <x v="9"/>
    <x v="1"/>
    <x v="75"/>
  </r>
  <r>
    <n v="3433"/>
    <x v="156"/>
    <x v="3"/>
    <n v="42"/>
    <n v="129"/>
    <n v="5418"/>
    <x v="3"/>
    <x v="4"/>
    <x v="0"/>
    <x v="79"/>
  </r>
  <r>
    <n v="3269"/>
    <x v="76"/>
    <x v="1"/>
    <n v="18"/>
    <n v="347"/>
    <n v="6246"/>
    <x v="4"/>
    <x v="7"/>
    <x v="2"/>
    <x v="5"/>
  </r>
  <r>
    <n v="3041"/>
    <x v="157"/>
    <x v="0"/>
    <n v="33"/>
    <n v="189"/>
    <n v="6237"/>
    <x v="4"/>
    <x v="9"/>
    <x v="3"/>
    <x v="80"/>
  </r>
  <r>
    <n v="3314"/>
    <x v="158"/>
    <x v="1"/>
    <n v="44"/>
    <n v="174"/>
    <n v="7656"/>
    <x v="5"/>
    <x v="6"/>
    <x v="0"/>
    <x v="81"/>
  </r>
  <r>
    <n v="3197"/>
    <x v="159"/>
    <x v="2"/>
    <n v="28"/>
    <n v="219"/>
    <n v="6132"/>
    <x v="1"/>
    <x v="8"/>
    <x v="0"/>
    <x v="1"/>
  </r>
  <r>
    <n v="3184"/>
    <x v="160"/>
    <x v="4"/>
    <n v="42"/>
    <n v="145"/>
    <n v="6090"/>
    <x v="1"/>
    <x v="4"/>
    <x v="2"/>
    <x v="1"/>
  </r>
  <r>
    <n v="3044"/>
    <x v="161"/>
    <x v="2"/>
    <n v="23"/>
    <n v="264"/>
    <n v="6072"/>
    <x v="1"/>
    <x v="5"/>
    <x v="2"/>
    <x v="1"/>
  </r>
  <r>
    <n v="3233"/>
    <x v="64"/>
    <x v="3"/>
    <n v="14"/>
    <n v="433"/>
    <n v="6062"/>
    <x v="1"/>
    <x v="3"/>
    <x v="4"/>
    <x v="1"/>
  </r>
  <r>
    <n v="3162"/>
    <x v="162"/>
    <x v="2"/>
    <n v="18"/>
    <n v="336"/>
    <n v="6048"/>
    <x v="2"/>
    <x v="8"/>
    <x v="4"/>
    <x v="82"/>
  </r>
  <r>
    <n v="3410"/>
    <x v="163"/>
    <x v="1"/>
    <n v="28"/>
    <n v="379"/>
    <n v="10612"/>
    <x v="1"/>
    <x v="8"/>
    <x v="0"/>
    <x v="1"/>
  </r>
  <r>
    <n v="3345"/>
    <x v="164"/>
    <x v="1"/>
    <n v="18"/>
    <n v="334"/>
    <n v="6012"/>
    <x v="2"/>
    <x v="3"/>
    <x v="2"/>
    <x v="38"/>
  </r>
  <r>
    <n v="3323"/>
    <x v="78"/>
    <x v="1"/>
    <n v="28"/>
    <n v="151"/>
    <n v="4228"/>
    <x v="1"/>
    <x v="5"/>
    <x v="0"/>
    <x v="1"/>
  </r>
  <r>
    <n v="3357"/>
    <x v="158"/>
    <x v="0"/>
    <n v="12"/>
    <n v="341"/>
    <n v="4092"/>
    <x v="5"/>
    <x v="6"/>
    <x v="0"/>
    <x v="81"/>
  </r>
  <r>
    <n v="3146"/>
    <x v="146"/>
    <x v="0"/>
    <n v="31"/>
    <n v="188"/>
    <n v="5828"/>
    <x v="4"/>
    <x v="4"/>
    <x v="4"/>
    <x v="71"/>
  </r>
  <r>
    <n v="3245"/>
    <x v="165"/>
    <x v="2"/>
    <n v="15"/>
    <n v="237"/>
    <n v="3555"/>
    <x v="0"/>
    <x v="3"/>
    <x v="4"/>
    <x v="83"/>
  </r>
  <r>
    <n v="3340"/>
    <x v="120"/>
    <x v="2"/>
    <n v="27"/>
    <n v="492"/>
    <n v="13284"/>
    <x v="1"/>
    <x v="2"/>
    <x v="0"/>
    <x v="1"/>
  </r>
  <r>
    <n v="3096"/>
    <x v="76"/>
    <x v="1"/>
    <n v="38"/>
    <n v="151"/>
    <n v="5738"/>
    <x v="4"/>
    <x v="7"/>
    <x v="2"/>
    <x v="5"/>
  </r>
  <r>
    <n v="3415"/>
    <x v="166"/>
    <x v="2"/>
    <n v="49"/>
    <n v="299"/>
    <n v="14651"/>
    <x v="4"/>
    <x v="4"/>
    <x v="1"/>
    <x v="55"/>
  </r>
  <r>
    <n v="3023"/>
    <x v="166"/>
    <x v="2"/>
    <n v="49"/>
    <n v="135"/>
    <n v="6615"/>
    <x v="4"/>
    <x v="4"/>
    <x v="1"/>
    <x v="55"/>
  </r>
  <r>
    <n v="3157"/>
    <x v="167"/>
    <x v="2"/>
    <n v="45"/>
    <n v="458"/>
    <n v="20610"/>
    <x v="5"/>
    <x v="5"/>
    <x v="3"/>
    <x v="84"/>
  </r>
  <r>
    <n v="3046"/>
    <x v="168"/>
    <x v="3"/>
    <n v="21"/>
    <n v="265"/>
    <n v="5565"/>
    <x v="2"/>
    <x v="4"/>
    <x v="2"/>
    <x v="85"/>
  </r>
  <r>
    <n v="3300"/>
    <x v="166"/>
    <x v="1"/>
    <n v="9"/>
    <n v="77"/>
    <n v="693"/>
    <x v="4"/>
    <x v="4"/>
    <x v="1"/>
    <x v="55"/>
  </r>
  <r>
    <n v="3068"/>
    <x v="165"/>
    <x v="2"/>
    <n v="11"/>
    <n v="124"/>
    <n v="1364"/>
    <x v="0"/>
    <x v="3"/>
    <x v="4"/>
    <x v="83"/>
  </r>
  <r>
    <n v="3254"/>
    <x v="169"/>
    <x v="4"/>
    <n v="16"/>
    <n v="255"/>
    <n v="4080"/>
    <x v="5"/>
    <x v="3"/>
    <x v="0"/>
    <x v="86"/>
  </r>
  <r>
    <n v="3376"/>
    <x v="170"/>
    <x v="0"/>
    <n v="16"/>
    <n v="336"/>
    <n v="5376"/>
    <x v="1"/>
    <x v="0"/>
    <x v="4"/>
    <x v="1"/>
  </r>
  <r>
    <n v="3056"/>
    <x v="171"/>
    <x v="1"/>
    <n v="27"/>
    <n v="255"/>
    <n v="6885"/>
    <x v="4"/>
    <x v="9"/>
    <x v="0"/>
    <x v="87"/>
  </r>
  <r>
    <n v="3361"/>
    <x v="172"/>
    <x v="4"/>
    <n v="16"/>
    <n v="333"/>
    <n v="5328"/>
    <x v="1"/>
    <x v="2"/>
    <x v="2"/>
    <x v="1"/>
  </r>
  <r>
    <n v="3239"/>
    <x v="106"/>
    <x v="2"/>
    <n v="14"/>
    <n v="380"/>
    <n v="5320"/>
    <x v="1"/>
    <x v="0"/>
    <x v="2"/>
    <x v="1"/>
  </r>
  <r>
    <n v="3365"/>
    <x v="173"/>
    <x v="0"/>
    <n v="18"/>
    <n v="293"/>
    <n v="5274"/>
    <x v="4"/>
    <x v="9"/>
    <x v="4"/>
    <x v="88"/>
  </r>
  <r>
    <n v="3394"/>
    <x v="174"/>
    <x v="4"/>
    <n v="31"/>
    <n v="170"/>
    <n v="5270"/>
    <x v="2"/>
    <x v="2"/>
    <x v="2"/>
    <x v="89"/>
  </r>
  <r>
    <n v="3027"/>
    <x v="175"/>
    <x v="2"/>
    <n v="28"/>
    <n v="188"/>
    <n v="5264"/>
    <x v="2"/>
    <x v="6"/>
    <x v="2"/>
    <x v="90"/>
  </r>
  <r>
    <n v="3108"/>
    <x v="176"/>
    <x v="4"/>
    <n v="50"/>
    <n v="105"/>
    <n v="5250"/>
    <x v="1"/>
    <x v="5"/>
    <x v="2"/>
    <x v="1"/>
  </r>
  <r>
    <n v="3337"/>
    <x v="177"/>
    <x v="3"/>
    <n v="30"/>
    <n v="356"/>
    <n v="10680"/>
    <x v="0"/>
    <x v="9"/>
    <x v="1"/>
    <x v="87"/>
  </r>
  <r>
    <n v="3391"/>
    <x v="178"/>
    <x v="3"/>
    <n v="29"/>
    <n v="273"/>
    <n v="7917"/>
    <x v="0"/>
    <x v="2"/>
    <x v="2"/>
    <x v="44"/>
  </r>
  <r>
    <n v="3355"/>
    <x v="179"/>
    <x v="0"/>
    <n v="12"/>
    <n v="434"/>
    <n v="5208"/>
    <x v="2"/>
    <x v="3"/>
    <x v="2"/>
    <x v="53"/>
  </r>
  <r>
    <n v="3078"/>
    <x v="180"/>
    <x v="0"/>
    <n v="35"/>
    <n v="136"/>
    <n v="4760"/>
    <x v="0"/>
    <x v="3"/>
    <x v="0"/>
    <x v="91"/>
  </r>
  <r>
    <n v="3326"/>
    <x v="181"/>
    <x v="2"/>
    <n v="41"/>
    <n v="446"/>
    <n v="18286"/>
    <x v="5"/>
    <x v="8"/>
    <x v="2"/>
    <x v="23"/>
  </r>
  <r>
    <n v="3190"/>
    <x v="182"/>
    <x v="2"/>
    <n v="26"/>
    <n v="437"/>
    <n v="11362"/>
    <x v="4"/>
    <x v="7"/>
    <x v="0"/>
    <x v="92"/>
  </r>
  <r>
    <n v="3434"/>
    <x v="181"/>
    <x v="1"/>
    <n v="26"/>
    <n v="405"/>
    <n v="10530"/>
    <x v="5"/>
    <x v="8"/>
    <x v="2"/>
    <x v="23"/>
  </r>
  <r>
    <n v="3392"/>
    <x v="183"/>
    <x v="0"/>
    <n v="43"/>
    <n v="427"/>
    <n v="18361"/>
    <x v="2"/>
    <x v="4"/>
    <x v="1"/>
    <x v="93"/>
  </r>
  <r>
    <n v="3352"/>
    <x v="184"/>
    <x v="0"/>
    <n v="34"/>
    <n v="386"/>
    <n v="13124"/>
    <x v="2"/>
    <x v="4"/>
    <x v="1"/>
    <x v="94"/>
  </r>
  <r>
    <n v="3132"/>
    <x v="184"/>
    <x v="4"/>
    <n v="4"/>
    <n v="104"/>
    <n v="416"/>
    <x v="2"/>
    <x v="4"/>
    <x v="1"/>
    <x v="94"/>
  </r>
  <r>
    <n v="3423"/>
    <x v="185"/>
    <x v="2"/>
    <n v="24"/>
    <n v="390"/>
    <n v="9360"/>
    <x v="1"/>
    <x v="0"/>
    <x v="0"/>
    <x v="1"/>
  </r>
  <r>
    <n v="3121"/>
    <x v="186"/>
    <x v="2"/>
    <n v="24"/>
    <n v="53"/>
    <n v="1272"/>
    <x v="1"/>
    <x v="8"/>
    <x v="0"/>
    <x v="1"/>
  </r>
  <r>
    <n v="3173"/>
    <x v="180"/>
    <x v="0"/>
    <n v="30"/>
    <n v="302"/>
    <n v="9060"/>
    <x v="0"/>
    <x v="3"/>
    <x v="0"/>
    <x v="91"/>
  </r>
  <r>
    <n v="3311"/>
    <x v="181"/>
    <x v="3"/>
    <n v="8"/>
    <n v="77"/>
    <n v="616"/>
    <x v="5"/>
    <x v="8"/>
    <x v="2"/>
    <x v="23"/>
  </r>
  <r>
    <n v="3174"/>
    <x v="141"/>
    <x v="2"/>
    <n v="12"/>
    <n v="410"/>
    <n v="4920"/>
    <x v="2"/>
    <x v="6"/>
    <x v="3"/>
    <x v="68"/>
  </r>
  <r>
    <n v="3446"/>
    <x v="147"/>
    <x v="4"/>
    <n v="40"/>
    <n v="123"/>
    <n v="4920"/>
    <x v="1"/>
    <x v="5"/>
    <x v="3"/>
    <x v="1"/>
  </r>
  <r>
    <n v="3079"/>
    <x v="187"/>
    <x v="2"/>
    <n v="43"/>
    <n v="310"/>
    <n v="13330"/>
    <x v="5"/>
    <x v="2"/>
    <x v="3"/>
    <x v="85"/>
  </r>
  <r>
    <n v="3164"/>
    <x v="180"/>
    <x v="2"/>
    <n v="27"/>
    <n v="273"/>
    <n v="7371"/>
    <x v="0"/>
    <x v="3"/>
    <x v="0"/>
    <x v="91"/>
  </r>
  <r>
    <n v="3049"/>
    <x v="188"/>
    <x v="0"/>
    <n v="29"/>
    <n v="241"/>
    <n v="6989"/>
    <x v="5"/>
    <x v="9"/>
    <x v="4"/>
    <x v="87"/>
  </r>
  <r>
    <n v="3413"/>
    <x v="189"/>
    <x v="3"/>
    <n v="20"/>
    <n v="193"/>
    <n v="3860"/>
    <x v="5"/>
    <x v="0"/>
    <x v="1"/>
    <x v="95"/>
  </r>
  <r>
    <n v="3437"/>
    <x v="171"/>
    <x v="2"/>
    <n v="24"/>
    <n v="497"/>
    <n v="11928"/>
    <x v="4"/>
    <x v="9"/>
    <x v="0"/>
    <x v="87"/>
  </r>
  <r>
    <n v="3402"/>
    <x v="190"/>
    <x v="4"/>
    <n v="21"/>
    <n v="344"/>
    <n v="7224"/>
    <x v="0"/>
    <x v="6"/>
    <x v="2"/>
    <x v="96"/>
  </r>
  <r>
    <n v="3292"/>
    <x v="191"/>
    <x v="3"/>
    <n v="13"/>
    <n v="358"/>
    <n v="4654"/>
    <x v="1"/>
    <x v="9"/>
    <x v="3"/>
    <x v="1"/>
  </r>
  <r>
    <n v="3209"/>
    <x v="192"/>
    <x v="2"/>
    <n v="43"/>
    <n v="108"/>
    <n v="4644"/>
    <x v="1"/>
    <x v="9"/>
    <x v="3"/>
    <x v="1"/>
  </r>
  <r>
    <n v="3272"/>
    <x v="193"/>
    <x v="1"/>
    <n v="8"/>
    <n v="411"/>
    <n v="3288"/>
    <x v="2"/>
    <x v="4"/>
    <x v="1"/>
    <x v="97"/>
  </r>
  <r>
    <n v="3453"/>
    <x v="194"/>
    <x v="2"/>
    <n v="1"/>
    <n v="110"/>
    <n v="110"/>
    <x v="0"/>
    <x v="5"/>
    <x v="1"/>
    <x v="98"/>
  </r>
  <r>
    <n v="3022"/>
    <x v="195"/>
    <x v="2"/>
    <n v="38"/>
    <n v="176"/>
    <n v="6688"/>
    <x v="0"/>
    <x v="3"/>
    <x v="1"/>
    <x v="99"/>
  </r>
  <r>
    <n v="3287"/>
    <x v="196"/>
    <x v="4"/>
    <n v="25"/>
    <n v="183"/>
    <n v="4575"/>
    <x v="1"/>
    <x v="5"/>
    <x v="4"/>
    <x v="1"/>
  </r>
  <r>
    <n v="3315"/>
    <x v="197"/>
    <x v="3"/>
    <n v="23"/>
    <n v="123"/>
    <n v="2829"/>
    <x v="4"/>
    <x v="0"/>
    <x v="0"/>
    <x v="100"/>
  </r>
  <r>
    <n v="3354"/>
    <x v="144"/>
    <x v="4"/>
    <n v="25"/>
    <n v="182"/>
    <n v="4550"/>
    <x v="1"/>
    <x v="1"/>
    <x v="2"/>
    <x v="1"/>
  </r>
  <r>
    <n v="3136"/>
    <x v="198"/>
    <x v="3"/>
    <n v="49"/>
    <n v="450"/>
    <n v="22050"/>
    <x v="5"/>
    <x v="1"/>
    <x v="1"/>
    <x v="101"/>
  </r>
  <r>
    <n v="3227"/>
    <x v="199"/>
    <x v="3"/>
    <n v="11"/>
    <n v="411"/>
    <n v="4521"/>
    <x v="1"/>
    <x v="7"/>
    <x v="2"/>
    <x v="1"/>
  </r>
  <r>
    <n v="3119"/>
    <x v="200"/>
    <x v="0"/>
    <n v="18"/>
    <n v="251"/>
    <n v="4518"/>
    <x v="1"/>
    <x v="6"/>
    <x v="3"/>
    <x v="1"/>
  </r>
  <r>
    <n v="3442"/>
    <x v="46"/>
    <x v="4"/>
    <n v="11"/>
    <n v="410"/>
    <n v="4510"/>
    <x v="1"/>
    <x v="6"/>
    <x v="3"/>
    <x v="1"/>
  </r>
  <r>
    <n v="3206"/>
    <x v="201"/>
    <x v="1"/>
    <n v="17"/>
    <n v="265"/>
    <n v="4505"/>
    <x v="2"/>
    <x v="4"/>
    <x v="4"/>
    <x v="102"/>
  </r>
  <r>
    <n v="3025"/>
    <x v="195"/>
    <x v="1"/>
    <n v="13"/>
    <n v="177"/>
    <n v="2301"/>
    <x v="0"/>
    <x v="3"/>
    <x v="1"/>
    <x v="99"/>
  </r>
  <r>
    <n v="3295"/>
    <x v="198"/>
    <x v="1"/>
    <n v="25"/>
    <n v="101"/>
    <n v="2525"/>
    <x v="5"/>
    <x v="1"/>
    <x v="1"/>
    <x v="101"/>
  </r>
  <r>
    <n v="3012"/>
    <x v="2"/>
    <x v="3"/>
    <n v="11"/>
    <n v="404"/>
    <n v="4444"/>
    <x v="2"/>
    <x v="0"/>
    <x v="2"/>
    <x v="2"/>
  </r>
  <r>
    <n v="3236"/>
    <x v="202"/>
    <x v="0"/>
    <n v="43"/>
    <n v="347"/>
    <n v="14921"/>
    <x v="5"/>
    <x v="3"/>
    <x v="1"/>
    <x v="32"/>
  </r>
  <r>
    <n v="3244"/>
    <x v="75"/>
    <x v="3"/>
    <n v="16"/>
    <n v="272"/>
    <n v="4352"/>
    <x v="4"/>
    <x v="2"/>
    <x v="4"/>
    <x v="34"/>
  </r>
  <r>
    <n v="3169"/>
    <x v="203"/>
    <x v="4"/>
    <n v="20"/>
    <n v="411"/>
    <n v="8220"/>
    <x v="1"/>
    <x v="6"/>
    <x v="0"/>
    <x v="1"/>
  </r>
  <r>
    <n v="3028"/>
    <x v="204"/>
    <x v="4"/>
    <n v="22"/>
    <n v="197"/>
    <n v="4334"/>
    <x v="4"/>
    <x v="1"/>
    <x v="3"/>
    <x v="103"/>
  </r>
  <r>
    <n v="3338"/>
    <x v="205"/>
    <x v="0"/>
    <n v="15"/>
    <n v="150"/>
    <n v="2250"/>
    <x v="5"/>
    <x v="2"/>
    <x v="0"/>
    <x v="104"/>
  </r>
  <r>
    <n v="3193"/>
    <x v="205"/>
    <x v="3"/>
    <n v="4"/>
    <n v="167"/>
    <n v="668"/>
    <x v="5"/>
    <x v="2"/>
    <x v="0"/>
    <x v="104"/>
  </r>
  <r>
    <n v="3445"/>
    <x v="27"/>
    <x v="4"/>
    <n v="20"/>
    <n v="83"/>
    <n v="1660"/>
    <x v="1"/>
    <x v="4"/>
    <x v="0"/>
    <x v="1"/>
  </r>
  <r>
    <n v="3276"/>
    <x v="206"/>
    <x v="2"/>
    <n v="19"/>
    <n v="198"/>
    <n v="3762"/>
    <x v="1"/>
    <x v="8"/>
    <x v="0"/>
    <x v="1"/>
  </r>
  <r>
    <n v="3306"/>
    <x v="207"/>
    <x v="2"/>
    <n v="42"/>
    <n v="100"/>
    <n v="4200"/>
    <x v="1"/>
    <x v="4"/>
    <x v="2"/>
    <x v="1"/>
  </r>
  <r>
    <n v="3473"/>
    <x v="208"/>
    <x v="0"/>
    <n v="25"/>
    <n v="166"/>
    <n v="4150"/>
    <x v="4"/>
    <x v="3"/>
    <x v="2"/>
    <x v="105"/>
  </r>
  <r>
    <n v="3231"/>
    <x v="209"/>
    <x v="0"/>
    <n v="47"/>
    <n v="359"/>
    <n v="16873"/>
    <x v="5"/>
    <x v="3"/>
    <x v="0"/>
    <x v="37"/>
  </r>
  <r>
    <n v="3381"/>
    <x v="195"/>
    <x v="2"/>
    <n v="1"/>
    <n v="127"/>
    <n v="127"/>
    <x v="0"/>
    <x v="3"/>
    <x v="1"/>
    <x v="99"/>
  </r>
  <r>
    <n v="3441"/>
    <x v="210"/>
    <x v="4"/>
    <n v="37"/>
    <n v="111"/>
    <n v="4107"/>
    <x v="1"/>
    <x v="0"/>
    <x v="3"/>
    <x v="1"/>
  </r>
  <r>
    <n v="3070"/>
    <x v="211"/>
    <x v="3"/>
    <n v="18"/>
    <n v="105"/>
    <n v="1890"/>
    <x v="4"/>
    <x v="8"/>
    <x v="0"/>
    <x v="106"/>
  </r>
  <r>
    <n v="3002"/>
    <x v="212"/>
    <x v="2"/>
    <n v="42"/>
    <n v="350"/>
    <n v="14700"/>
    <x v="5"/>
    <x v="3"/>
    <x v="0"/>
    <x v="62"/>
  </r>
  <r>
    <n v="3325"/>
    <x v="104"/>
    <x v="0"/>
    <n v="10"/>
    <n v="408"/>
    <n v="4080"/>
    <x v="1"/>
    <x v="5"/>
    <x v="2"/>
    <x v="1"/>
  </r>
  <r>
    <n v="3406"/>
    <x v="213"/>
    <x v="3"/>
    <n v="16"/>
    <n v="360"/>
    <n v="5760"/>
    <x v="1"/>
    <x v="4"/>
    <x v="0"/>
    <x v="1"/>
  </r>
  <r>
    <n v="3024"/>
    <x v="214"/>
    <x v="1"/>
    <n v="16"/>
    <n v="250"/>
    <n v="4000"/>
    <x v="1"/>
    <x v="5"/>
    <x v="4"/>
    <x v="1"/>
  </r>
  <r>
    <n v="3264"/>
    <x v="215"/>
    <x v="1"/>
    <n v="23"/>
    <n v="422"/>
    <n v="9706"/>
    <x v="0"/>
    <x v="4"/>
    <x v="2"/>
    <x v="107"/>
  </r>
  <r>
    <n v="3396"/>
    <x v="216"/>
    <x v="0"/>
    <n v="37"/>
    <n v="107"/>
    <n v="3959"/>
    <x v="1"/>
    <x v="0"/>
    <x v="2"/>
    <x v="1"/>
  </r>
  <r>
    <n v="3083"/>
    <x v="217"/>
    <x v="4"/>
    <n v="20"/>
    <n v="197"/>
    <n v="3940"/>
    <x v="4"/>
    <x v="8"/>
    <x v="4"/>
    <x v="108"/>
  </r>
  <r>
    <n v="3479"/>
    <x v="215"/>
    <x v="3"/>
    <n v="31"/>
    <n v="264"/>
    <n v="8184"/>
    <x v="0"/>
    <x v="4"/>
    <x v="2"/>
    <x v="107"/>
  </r>
  <r>
    <n v="3250"/>
    <x v="218"/>
    <x v="4"/>
    <n v="16"/>
    <n v="314"/>
    <n v="5024"/>
    <x v="2"/>
    <x v="4"/>
    <x v="0"/>
    <x v="109"/>
  </r>
  <r>
    <n v="3380"/>
    <x v="219"/>
    <x v="2"/>
    <n v="30"/>
    <n v="288"/>
    <n v="8640"/>
    <x v="0"/>
    <x v="9"/>
    <x v="3"/>
    <x v="110"/>
  </r>
  <r>
    <n v="3071"/>
    <x v="176"/>
    <x v="0"/>
    <n v="17"/>
    <n v="229"/>
    <n v="3893"/>
    <x v="1"/>
    <x v="5"/>
    <x v="2"/>
    <x v="1"/>
  </r>
  <r>
    <n v="3207"/>
    <x v="220"/>
    <x v="1"/>
    <n v="44"/>
    <n v="62"/>
    <n v="2728"/>
    <x v="0"/>
    <x v="5"/>
    <x v="4"/>
    <x v="111"/>
  </r>
  <r>
    <n v="3099"/>
    <x v="221"/>
    <x v="2"/>
    <n v="36"/>
    <n v="107"/>
    <n v="3852"/>
    <x v="4"/>
    <x v="2"/>
    <x v="4"/>
    <x v="112"/>
  </r>
  <r>
    <n v="3066"/>
    <x v="222"/>
    <x v="1"/>
    <n v="13"/>
    <n v="74"/>
    <n v="962"/>
    <x v="2"/>
    <x v="7"/>
    <x v="1"/>
    <x v="113"/>
  </r>
  <r>
    <n v="3111"/>
    <x v="223"/>
    <x v="4"/>
    <n v="9"/>
    <n v="424"/>
    <n v="3816"/>
    <x v="1"/>
    <x v="9"/>
    <x v="4"/>
    <x v="1"/>
  </r>
  <r>
    <n v="3147"/>
    <x v="212"/>
    <x v="0"/>
    <n v="9"/>
    <n v="473"/>
    <n v="4257"/>
    <x v="5"/>
    <x v="3"/>
    <x v="0"/>
    <x v="62"/>
  </r>
  <r>
    <n v="3331"/>
    <x v="156"/>
    <x v="0"/>
    <n v="15"/>
    <n v="336"/>
    <n v="5040"/>
    <x v="3"/>
    <x v="4"/>
    <x v="0"/>
    <x v="79"/>
  </r>
  <r>
    <n v="3279"/>
    <x v="224"/>
    <x v="0"/>
    <n v="8"/>
    <n v="467"/>
    <n v="3736"/>
    <x v="1"/>
    <x v="6"/>
    <x v="4"/>
    <x v="1"/>
  </r>
  <r>
    <n v="3257"/>
    <x v="204"/>
    <x v="2"/>
    <n v="49"/>
    <n v="76"/>
    <n v="3724"/>
    <x v="4"/>
    <x v="1"/>
    <x v="3"/>
    <x v="103"/>
  </r>
  <r>
    <n v="3033"/>
    <x v="225"/>
    <x v="4"/>
    <n v="16"/>
    <n v="67"/>
    <n v="1072"/>
    <x v="2"/>
    <x v="8"/>
    <x v="0"/>
    <x v="69"/>
  </r>
  <r>
    <n v="3131"/>
    <x v="226"/>
    <x v="2"/>
    <n v="13"/>
    <n v="286"/>
    <n v="3718"/>
    <x v="1"/>
    <x v="4"/>
    <x v="4"/>
    <x v="1"/>
  </r>
  <r>
    <n v="3386"/>
    <x v="227"/>
    <x v="0"/>
    <n v="34"/>
    <n v="108"/>
    <n v="3672"/>
    <x v="1"/>
    <x v="7"/>
    <x v="4"/>
    <x v="1"/>
  </r>
  <r>
    <n v="3125"/>
    <x v="82"/>
    <x v="0"/>
    <n v="10"/>
    <n v="374"/>
    <n v="3740"/>
    <x v="3"/>
    <x v="7"/>
    <x v="4"/>
    <x v="38"/>
  </r>
  <r>
    <n v="3427"/>
    <x v="200"/>
    <x v="2"/>
    <n v="15"/>
    <n v="243"/>
    <n v="3645"/>
    <x v="1"/>
    <x v="6"/>
    <x v="3"/>
    <x v="1"/>
  </r>
  <r>
    <n v="3476"/>
    <x v="52"/>
    <x v="4"/>
    <n v="44"/>
    <n v="342"/>
    <n v="15048"/>
    <x v="3"/>
    <x v="8"/>
    <x v="4"/>
    <x v="26"/>
  </r>
  <r>
    <n v="3008"/>
    <x v="228"/>
    <x v="0"/>
    <n v="45"/>
    <n v="80"/>
    <n v="3600"/>
    <x v="4"/>
    <x v="4"/>
    <x v="3"/>
    <x v="114"/>
  </r>
  <r>
    <n v="3485"/>
    <x v="220"/>
    <x v="1"/>
    <n v="23"/>
    <n v="91"/>
    <n v="2093"/>
    <x v="0"/>
    <x v="5"/>
    <x v="4"/>
    <x v="111"/>
  </r>
  <r>
    <n v="3341"/>
    <x v="55"/>
    <x v="1"/>
    <n v="15"/>
    <n v="237"/>
    <n v="3555"/>
    <x v="4"/>
    <x v="6"/>
    <x v="4"/>
    <x v="27"/>
  </r>
  <r>
    <n v="3409"/>
    <x v="229"/>
    <x v="4"/>
    <n v="46"/>
    <n v="326"/>
    <n v="14996"/>
    <x v="0"/>
    <x v="6"/>
    <x v="1"/>
    <x v="73"/>
  </r>
  <r>
    <n v="3291"/>
    <x v="89"/>
    <x v="1"/>
    <n v="26"/>
    <n v="116"/>
    <n v="3016"/>
    <x v="3"/>
    <x v="9"/>
    <x v="1"/>
    <x v="39"/>
  </r>
  <r>
    <n v="3081"/>
    <x v="230"/>
    <x v="1"/>
    <n v="8"/>
    <n v="427"/>
    <n v="3416"/>
    <x v="2"/>
    <x v="0"/>
    <x v="2"/>
    <x v="103"/>
  </r>
  <r>
    <n v="3097"/>
    <x v="231"/>
    <x v="0"/>
    <n v="25"/>
    <n v="335"/>
    <n v="8375"/>
    <x v="4"/>
    <x v="8"/>
    <x v="1"/>
    <x v="114"/>
  </r>
  <r>
    <n v="3102"/>
    <x v="232"/>
    <x v="2"/>
    <n v="19"/>
    <n v="177"/>
    <n v="3363"/>
    <x v="1"/>
    <x v="0"/>
    <x v="2"/>
    <x v="1"/>
  </r>
  <r>
    <n v="3253"/>
    <x v="233"/>
    <x v="1"/>
    <n v="25"/>
    <n v="133"/>
    <n v="3325"/>
    <x v="2"/>
    <x v="8"/>
    <x v="4"/>
    <x v="20"/>
  </r>
  <r>
    <n v="3444"/>
    <x v="231"/>
    <x v="0"/>
    <n v="41"/>
    <n v="88"/>
    <n v="3608"/>
    <x v="4"/>
    <x v="8"/>
    <x v="1"/>
    <x v="114"/>
  </r>
  <r>
    <n v="3042"/>
    <x v="231"/>
    <x v="2"/>
    <n v="34"/>
    <n v="90"/>
    <n v="3060"/>
    <x v="4"/>
    <x v="8"/>
    <x v="1"/>
    <x v="114"/>
  </r>
  <r>
    <n v="3177"/>
    <x v="234"/>
    <x v="0"/>
    <n v="50"/>
    <n v="336"/>
    <n v="16800"/>
    <x v="0"/>
    <x v="1"/>
    <x v="0"/>
    <x v="113"/>
  </r>
  <r>
    <n v="3249"/>
    <x v="235"/>
    <x v="1"/>
    <n v="40"/>
    <n v="62"/>
    <n v="2480"/>
    <x v="3"/>
    <x v="7"/>
    <x v="0"/>
    <x v="115"/>
  </r>
  <r>
    <n v="3128"/>
    <x v="84"/>
    <x v="2"/>
    <n v="12"/>
    <n v="270"/>
    <n v="3240"/>
    <x v="1"/>
    <x v="9"/>
    <x v="3"/>
    <x v="1"/>
  </r>
  <r>
    <n v="3143"/>
    <x v="106"/>
    <x v="4"/>
    <n v="12"/>
    <n v="270"/>
    <n v="3240"/>
    <x v="1"/>
    <x v="0"/>
    <x v="2"/>
    <x v="1"/>
  </r>
  <r>
    <n v="3312"/>
    <x v="88"/>
    <x v="2"/>
    <n v="45"/>
    <n v="72"/>
    <n v="3240"/>
    <x v="1"/>
    <x v="0"/>
    <x v="4"/>
    <x v="1"/>
  </r>
  <r>
    <n v="3148"/>
    <x v="236"/>
    <x v="4"/>
    <n v="14"/>
    <n v="231"/>
    <n v="3234"/>
    <x v="1"/>
    <x v="9"/>
    <x v="2"/>
    <x v="1"/>
  </r>
  <r>
    <n v="3205"/>
    <x v="237"/>
    <x v="4"/>
    <n v="12"/>
    <n v="416"/>
    <n v="4992"/>
    <x v="0"/>
    <x v="4"/>
    <x v="1"/>
    <x v="116"/>
  </r>
  <r>
    <n v="3475"/>
    <x v="84"/>
    <x v="1"/>
    <n v="20"/>
    <n v="160"/>
    <n v="3200"/>
    <x v="1"/>
    <x v="9"/>
    <x v="3"/>
    <x v="1"/>
  </r>
  <r>
    <n v="3072"/>
    <x v="237"/>
    <x v="2"/>
    <n v="17"/>
    <n v="226"/>
    <n v="3842"/>
    <x v="0"/>
    <x v="4"/>
    <x v="1"/>
    <x v="116"/>
  </r>
  <r>
    <n v="3261"/>
    <x v="238"/>
    <x v="0"/>
    <n v="28"/>
    <n v="387"/>
    <n v="10836"/>
    <x v="0"/>
    <x v="1"/>
    <x v="1"/>
    <x v="117"/>
  </r>
  <r>
    <n v="3496"/>
    <x v="157"/>
    <x v="0"/>
    <n v="8"/>
    <n v="393"/>
    <n v="3144"/>
    <x v="4"/>
    <x v="9"/>
    <x v="3"/>
    <x v="80"/>
  </r>
  <r>
    <n v="3377"/>
    <x v="239"/>
    <x v="2"/>
    <n v="38"/>
    <n v="152"/>
    <n v="5776"/>
    <x v="5"/>
    <x v="8"/>
    <x v="1"/>
    <x v="118"/>
  </r>
  <r>
    <n v="3347"/>
    <x v="138"/>
    <x v="4"/>
    <n v="41"/>
    <n v="75"/>
    <n v="3075"/>
    <x v="4"/>
    <x v="0"/>
    <x v="3"/>
    <x v="65"/>
  </r>
  <r>
    <n v="3101"/>
    <x v="238"/>
    <x v="3"/>
    <n v="5"/>
    <n v="339"/>
    <n v="1695"/>
    <x v="0"/>
    <x v="1"/>
    <x v="1"/>
    <x v="117"/>
  </r>
  <r>
    <n v="3019"/>
    <x v="240"/>
    <x v="1"/>
    <n v="16"/>
    <n v="258"/>
    <n v="4128"/>
    <x v="2"/>
    <x v="8"/>
    <x v="1"/>
    <x v="119"/>
  </r>
  <r>
    <n v="3187"/>
    <x v="241"/>
    <x v="1"/>
    <n v="35"/>
    <n v="59"/>
    <n v="2065"/>
    <x v="4"/>
    <x v="6"/>
    <x v="1"/>
    <x v="100"/>
  </r>
  <r>
    <n v="3478"/>
    <x v="239"/>
    <x v="2"/>
    <n v="6"/>
    <n v="224"/>
    <n v="1344"/>
    <x v="5"/>
    <x v="8"/>
    <x v="1"/>
    <x v="118"/>
  </r>
  <r>
    <n v="3223"/>
    <x v="238"/>
    <x v="0"/>
    <n v="6"/>
    <n v="118"/>
    <n v="708"/>
    <x v="0"/>
    <x v="1"/>
    <x v="1"/>
    <x v="117"/>
  </r>
  <r>
    <n v="3335"/>
    <x v="242"/>
    <x v="2"/>
    <n v="15"/>
    <n v="248"/>
    <n v="3720"/>
    <x v="2"/>
    <x v="7"/>
    <x v="0"/>
    <x v="120"/>
  </r>
  <r>
    <n v="3149"/>
    <x v="243"/>
    <x v="0"/>
    <n v="39"/>
    <n v="277"/>
    <n v="10803"/>
    <x v="2"/>
    <x v="8"/>
    <x v="1"/>
    <x v="74"/>
  </r>
  <r>
    <n v="3452"/>
    <x v="244"/>
    <x v="4"/>
    <n v="39"/>
    <n v="77"/>
    <n v="3003"/>
    <x v="5"/>
    <x v="1"/>
    <x v="4"/>
    <x v="121"/>
  </r>
  <r>
    <n v="3350"/>
    <x v="245"/>
    <x v="2"/>
    <n v="16"/>
    <n v="323"/>
    <n v="5168"/>
    <x v="5"/>
    <x v="6"/>
    <x v="2"/>
    <x v="122"/>
  </r>
  <r>
    <n v="3091"/>
    <x v="207"/>
    <x v="2"/>
    <n v="46"/>
    <n v="61"/>
    <n v="2806"/>
    <x v="1"/>
    <x v="4"/>
    <x v="2"/>
    <x v="1"/>
  </r>
  <r>
    <n v="3336"/>
    <x v="246"/>
    <x v="0"/>
    <n v="1"/>
    <n v="465"/>
    <n v="465"/>
    <x v="0"/>
    <x v="1"/>
    <x v="4"/>
    <x v="36"/>
  </r>
  <r>
    <n v="3449"/>
    <x v="84"/>
    <x v="2"/>
    <n v="18"/>
    <n v="152"/>
    <n v="2736"/>
    <x v="1"/>
    <x v="9"/>
    <x v="3"/>
    <x v="1"/>
  </r>
  <r>
    <n v="3007"/>
    <x v="247"/>
    <x v="4"/>
    <n v="14"/>
    <n v="195"/>
    <n v="2730"/>
    <x v="1"/>
    <x v="0"/>
    <x v="2"/>
    <x v="1"/>
  </r>
  <r>
    <n v="3290"/>
    <x v="248"/>
    <x v="0"/>
    <n v="41"/>
    <n v="322"/>
    <n v="13202"/>
    <x v="0"/>
    <x v="6"/>
    <x v="2"/>
    <x v="123"/>
  </r>
  <r>
    <n v="3378"/>
    <x v="221"/>
    <x v="0"/>
    <n v="20"/>
    <n v="136"/>
    <n v="2720"/>
    <x v="4"/>
    <x v="2"/>
    <x v="4"/>
    <x v="112"/>
  </r>
  <r>
    <n v="3344"/>
    <x v="38"/>
    <x v="4"/>
    <n v="24"/>
    <n v="113"/>
    <n v="2712"/>
    <x v="1"/>
    <x v="0"/>
    <x v="2"/>
    <x v="1"/>
  </r>
  <r>
    <n v="3388"/>
    <x v="196"/>
    <x v="3"/>
    <n v="39"/>
    <n v="69"/>
    <n v="2691"/>
    <x v="1"/>
    <x v="5"/>
    <x v="4"/>
    <x v="1"/>
  </r>
  <r>
    <n v="3138"/>
    <x v="249"/>
    <x v="2"/>
    <n v="14"/>
    <n v="192"/>
    <n v="2688"/>
    <x v="1"/>
    <x v="4"/>
    <x v="4"/>
    <x v="1"/>
  </r>
  <r>
    <n v="3463"/>
    <x v="207"/>
    <x v="0"/>
    <n v="26"/>
    <n v="103"/>
    <n v="2678"/>
    <x v="1"/>
    <x v="4"/>
    <x v="2"/>
    <x v="1"/>
  </r>
  <r>
    <n v="3260"/>
    <x v="248"/>
    <x v="2"/>
    <n v="35"/>
    <n v="83"/>
    <n v="2905"/>
    <x v="0"/>
    <x v="6"/>
    <x v="2"/>
    <x v="123"/>
  </r>
  <r>
    <n v="3226"/>
    <x v="101"/>
    <x v="0"/>
    <n v="42"/>
    <n v="63"/>
    <n v="2646"/>
    <x v="1"/>
    <x v="5"/>
    <x v="2"/>
    <x v="1"/>
  </r>
  <r>
    <n v="3339"/>
    <x v="149"/>
    <x v="3"/>
    <n v="10"/>
    <n v="264"/>
    <n v="2640"/>
    <x v="2"/>
    <x v="3"/>
    <x v="2"/>
    <x v="73"/>
  </r>
  <r>
    <n v="3242"/>
    <x v="163"/>
    <x v="4"/>
    <n v="14"/>
    <n v="330"/>
    <n v="4620"/>
    <x v="1"/>
    <x v="8"/>
    <x v="0"/>
    <x v="1"/>
  </r>
  <r>
    <n v="3181"/>
    <x v="250"/>
    <x v="1"/>
    <n v="8"/>
    <n v="317"/>
    <n v="2536"/>
    <x v="1"/>
    <x v="8"/>
    <x v="4"/>
    <x v="1"/>
  </r>
  <r>
    <n v="3166"/>
    <x v="245"/>
    <x v="4"/>
    <n v="6"/>
    <n v="355"/>
    <n v="2130"/>
    <x v="5"/>
    <x v="6"/>
    <x v="2"/>
    <x v="122"/>
  </r>
  <r>
    <n v="3498"/>
    <x v="251"/>
    <x v="0"/>
    <n v="34"/>
    <n v="482"/>
    <n v="16388"/>
    <x v="0"/>
    <x v="0"/>
    <x v="1"/>
    <x v="124"/>
  </r>
  <r>
    <n v="3150"/>
    <x v="134"/>
    <x v="3"/>
    <n v="6"/>
    <n v="417"/>
    <n v="2502"/>
    <x v="1"/>
    <x v="5"/>
    <x v="2"/>
    <x v="1"/>
  </r>
  <r>
    <n v="3431"/>
    <x v="29"/>
    <x v="0"/>
    <n v="7"/>
    <n v="355"/>
    <n v="2485"/>
    <x v="2"/>
    <x v="2"/>
    <x v="2"/>
    <x v="18"/>
  </r>
  <r>
    <n v="3270"/>
    <x v="252"/>
    <x v="4"/>
    <n v="14"/>
    <n v="232"/>
    <n v="3248"/>
    <x v="1"/>
    <x v="3"/>
    <x v="0"/>
    <x v="1"/>
  </r>
  <r>
    <n v="3342"/>
    <x v="253"/>
    <x v="0"/>
    <n v="29"/>
    <n v="85"/>
    <n v="2465"/>
    <x v="3"/>
    <x v="3"/>
    <x v="3"/>
    <x v="125"/>
  </r>
  <r>
    <n v="3159"/>
    <x v="254"/>
    <x v="3"/>
    <n v="14"/>
    <n v="175"/>
    <n v="2450"/>
    <x v="4"/>
    <x v="0"/>
    <x v="3"/>
    <x v="126"/>
  </r>
  <r>
    <n v="3330"/>
    <x v="255"/>
    <x v="1"/>
    <n v="17"/>
    <n v="155"/>
    <n v="2635"/>
    <x v="5"/>
    <x v="7"/>
    <x v="0"/>
    <x v="127"/>
  </r>
  <r>
    <n v="3103"/>
    <x v="256"/>
    <x v="4"/>
    <n v="14"/>
    <n v="148"/>
    <n v="2072"/>
    <x v="1"/>
    <x v="9"/>
    <x v="0"/>
    <x v="1"/>
  </r>
  <r>
    <n v="3451"/>
    <x v="206"/>
    <x v="3"/>
    <n v="13"/>
    <n v="411"/>
    <n v="5343"/>
    <x v="1"/>
    <x v="8"/>
    <x v="0"/>
    <x v="1"/>
  </r>
  <r>
    <n v="3185"/>
    <x v="52"/>
    <x v="4"/>
    <n v="41"/>
    <n v="260"/>
    <n v="10660"/>
    <x v="3"/>
    <x v="8"/>
    <x v="4"/>
    <x v="26"/>
  </r>
  <r>
    <n v="3393"/>
    <x v="251"/>
    <x v="4"/>
    <n v="10"/>
    <n v="428"/>
    <n v="4280"/>
    <x v="0"/>
    <x v="0"/>
    <x v="1"/>
    <x v="124"/>
  </r>
  <r>
    <n v="3199"/>
    <x v="257"/>
    <x v="1"/>
    <n v="14"/>
    <n v="160"/>
    <n v="2240"/>
    <x v="0"/>
    <x v="9"/>
    <x v="3"/>
    <x v="128"/>
  </r>
  <r>
    <n v="3371"/>
    <x v="97"/>
    <x v="1"/>
    <n v="25"/>
    <n v="92"/>
    <n v="2300"/>
    <x v="1"/>
    <x v="4"/>
    <x v="2"/>
    <x v="1"/>
  </r>
  <r>
    <n v="3038"/>
    <x v="72"/>
    <x v="2"/>
    <n v="5"/>
    <n v="459"/>
    <n v="2295"/>
    <x v="2"/>
    <x v="7"/>
    <x v="2"/>
    <x v="32"/>
  </r>
  <r>
    <n v="3359"/>
    <x v="258"/>
    <x v="1"/>
    <n v="42"/>
    <n v="476"/>
    <n v="19992"/>
    <x v="0"/>
    <x v="3"/>
    <x v="3"/>
    <x v="129"/>
  </r>
  <r>
    <n v="3401"/>
    <x v="259"/>
    <x v="0"/>
    <n v="49"/>
    <n v="278"/>
    <n v="13622"/>
    <x v="5"/>
    <x v="0"/>
    <x v="0"/>
    <x v="130"/>
  </r>
  <r>
    <n v="3235"/>
    <x v="162"/>
    <x v="1"/>
    <n v="25"/>
    <n v="90"/>
    <n v="2250"/>
    <x v="2"/>
    <x v="8"/>
    <x v="4"/>
    <x v="82"/>
  </r>
  <r>
    <n v="3353"/>
    <x v="259"/>
    <x v="3"/>
    <n v="46"/>
    <n v="288"/>
    <n v="13248"/>
    <x v="5"/>
    <x v="0"/>
    <x v="0"/>
    <x v="130"/>
  </r>
  <r>
    <n v="3447"/>
    <x v="258"/>
    <x v="4"/>
    <n v="26"/>
    <n v="153"/>
    <n v="3978"/>
    <x v="0"/>
    <x v="3"/>
    <x v="3"/>
    <x v="129"/>
  </r>
  <r>
    <n v="3210"/>
    <x v="260"/>
    <x v="0"/>
    <n v="3"/>
    <n v="452"/>
    <n v="1356"/>
    <x v="5"/>
    <x v="9"/>
    <x v="0"/>
    <x v="131"/>
  </r>
  <r>
    <n v="3349"/>
    <x v="261"/>
    <x v="0"/>
    <n v="31"/>
    <n v="247"/>
    <n v="7657"/>
    <x v="4"/>
    <x v="2"/>
    <x v="1"/>
    <x v="132"/>
  </r>
  <r>
    <n v="3065"/>
    <x v="262"/>
    <x v="0"/>
    <n v="13"/>
    <n v="52"/>
    <n v="676"/>
    <x v="4"/>
    <x v="5"/>
    <x v="0"/>
    <x v="133"/>
  </r>
  <r>
    <n v="3492"/>
    <x v="225"/>
    <x v="2"/>
    <n v="12"/>
    <n v="427"/>
    <n v="5124"/>
    <x v="2"/>
    <x v="8"/>
    <x v="0"/>
    <x v="69"/>
  </r>
  <r>
    <n v="3464"/>
    <x v="258"/>
    <x v="1"/>
    <n v="8"/>
    <n v="229"/>
    <n v="1832"/>
    <x v="0"/>
    <x v="3"/>
    <x v="3"/>
    <x v="129"/>
  </r>
  <r>
    <n v="3100"/>
    <x v="260"/>
    <x v="2"/>
    <n v="1"/>
    <n v="178"/>
    <n v="178"/>
    <x v="5"/>
    <x v="9"/>
    <x v="0"/>
    <x v="131"/>
  </r>
  <r>
    <n v="3403"/>
    <x v="131"/>
    <x v="2"/>
    <n v="9"/>
    <n v="255"/>
    <n v="2295"/>
    <x v="3"/>
    <x v="2"/>
    <x v="1"/>
    <x v="61"/>
  </r>
  <r>
    <n v="3017"/>
    <x v="263"/>
    <x v="4"/>
    <n v="20"/>
    <n v="453"/>
    <n v="9060"/>
    <x v="5"/>
    <x v="6"/>
    <x v="2"/>
    <x v="132"/>
  </r>
  <r>
    <n v="3268"/>
    <x v="264"/>
    <x v="2"/>
    <n v="14"/>
    <n v="152"/>
    <n v="2128"/>
    <x v="1"/>
    <x v="5"/>
    <x v="3"/>
    <x v="1"/>
  </r>
  <r>
    <n v="3399"/>
    <x v="265"/>
    <x v="1"/>
    <n v="47"/>
    <n v="101"/>
    <n v="4747"/>
    <x v="0"/>
    <x v="3"/>
    <x v="2"/>
    <x v="134"/>
  </r>
  <r>
    <n v="3421"/>
    <x v="265"/>
    <x v="0"/>
    <n v="5"/>
    <n v="63"/>
    <n v="315"/>
    <x v="0"/>
    <x v="3"/>
    <x v="2"/>
    <x v="134"/>
  </r>
  <r>
    <n v="3203"/>
    <x v="172"/>
    <x v="2"/>
    <n v="9"/>
    <n v="231"/>
    <n v="2079"/>
    <x v="1"/>
    <x v="2"/>
    <x v="2"/>
    <x v="1"/>
  </r>
  <r>
    <n v="3104"/>
    <x v="263"/>
    <x v="3"/>
    <n v="16"/>
    <n v="352"/>
    <n v="5632"/>
    <x v="5"/>
    <x v="6"/>
    <x v="2"/>
    <x v="132"/>
  </r>
  <r>
    <n v="3076"/>
    <x v="266"/>
    <x v="4"/>
    <n v="33"/>
    <n v="206"/>
    <n v="6798"/>
    <x v="3"/>
    <x v="9"/>
    <x v="4"/>
    <x v="129"/>
  </r>
  <r>
    <n v="3034"/>
    <x v="70"/>
    <x v="4"/>
    <n v="5"/>
    <n v="408"/>
    <n v="2040"/>
    <x v="1"/>
    <x v="4"/>
    <x v="4"/>
    <x v="1"/>
  </r>
  <r>
    <n v="3151"/>
    <x v="224"/>
    <x v="0"/>
    <n v="14"/>
    <n v="143"/>
    <n v="2002"/>
    <x v="1"/>
    <x v="6"/>
    <x v="4"/>
    <x v="1"/>
  </r>
  <r>
    <n v="3040"/>
    <x v="250"/>
    <x v="2"/>
    <n v="40"/>
    <n v="50"/>
    <n v="2000"/>
    <x v="1"/>
    <x v="8"/>
    <x v="4"/>
    <x v="1"/>
  </r>
  <r>
    <n v="3375"/>
    <x v="267"/>
    <x v="1"/>
    <n v="37"/>
    <n v="57"/>
    <n v="2109"/>
    <x v="3"/>
    <x v="4"/>
    <x v="1"/>
    <x v="135"/>
  </r>
  <r>
    <n v="3167"/>
    <x v="249"/>
    <x v="1"/>
    <n v="14"/>
    <n v="138"/>
    <n v="1932"/>
    <x v="1"/>
    <x v="4"/>
    <x v="4"/>
    <x v="1"/>
  </r>
  <r>
    <n v="3420"/>
    <x v="268"/>
    <x v="4"/>
    <n v="43"/>
    <n v="332"/>
    <n v="14276"/>
    <x v="2"/>
    <x v="7"/>
    <x v="1"/>
    <x v="25"/>
  </r>
  <r>
    <n v="3182"/>
    <x v="218"/>
    <x v="3"/>
    <n v="11"/>
    <n v="366"/>
    <n v="4026"/>
    <x v="2"/>
    <x v="4"/>
    <x v="0"/>
    <x v="109"/>
  </r>
  <r>
    <n v="3195"/>
    <x v="268"/>
    <x v="2"/>
    <n v="7"/>
    <n v="120"/>
    <n v="840"/>
    <x v="2"/>
    <x v="7"/>
    <x v="1"/>
    <x v="25"/>
  </r>
  <r>
    <n v="3098"/>
    <x v="269"/>
    <x v="3"/>
    <n v="4"/>
    <n v="472"/>
    <n v="1888"/>
    <x v="2"/>
    <x v="6"/>
    <x v="3"/>
    <x v="72"/>
  </r>
  <r>
    <n v="3467"/>
    <x v="263"/>
    <x v="4"/>
    <n v="47"/>
    <n v="92"/>
    <n v="4324"/>
    <x v="5"/>
    <x v="6"/>
    <x v="2"/>
    <x v="132"/>
  </r>
  <r>
    <n v="3497"/>
    <x v="270"/>
    <x v="0"/>
    <n v="22"/>
    <n v="357"/>
    <n v="7854"/>
    <x v="0"/>
    <x v="6"/>
    <x v="4"/>
    <x v="136"/>
  </r>
  <r>
    <n v="3440"/>
    <x v="116"/>
    <x v="1"/>
    <n v="5"/>
    <n v="364"/>
    <n v="1820"/>
    <x v="2"/>
    <x v="5"/>
    <x v="3"/>
    <x v="51"/>
  </r>
  <r>
    <n v="3435"/>
    <x v="171"/>
    <x v="0"/>
    <n v="11"/>
    <n v="215"/>
    <n v="2365"/>
    <x v="4"/>
    <x v="9"/>
    <x v="0"/>
    <x v="87"/>
  </r>
  <r>
    <n v="3133"/>
    <x v="256"/>
    <x v="0"/>
    <n v="10"/>
    <n v="476"/>
    <n v="4760"/>
    <x v="1"/>
    <x v="9"/>
    <x v="0"/>
    <x v="1"/>
  </r>
  <r>
    <n v="3153"/>
    <x v="271"/>
    <x v="4"/>
    <n v="21"/>
    <n v="84"/>
    <n v="1764"/>
    <x v="2"/>
    <x v="1"/>
    <x v="3"/>
    <x v="39"/>
  </r>
  <r>
    <n v="3318"/>
    <x v="272"/>
    <x v="4"/>
    <n v="46"/>
    <n v="100"/>
    <n v="4600"/>
    <x v="0"/>
    <x v="1"/>
    <x v="4"/>
    <x v="137"/>
  </r>
  <r>
    <n v="3370"/>
    <x v="273"/>
    <x v="3"/>
    <n v="10"/>
    <n v="181"/>
    <n v="1810"/>
    <x v="2"/>
    <x v="5"/>
    <x v="0"/>
    <x v="138"/>
  </r>
  <r>
    <n v="3457"/>
    <x v="210"/>
    <x v="1"/>
    <n v="8"/>
    <n v="212"/>
    <n v="1696"/>
    <x v="1"/>
    <x v="0"/>
    <x v="3"/>
    <x v="1"/>
  </r>
  <r>
    <n v="3163"/>
    <x v="274"/>
    <x v="0"/>
    <n v="26"/>
    <n v="291"/>
    <n v="7566"/>
    <x v="0"/>
    <x v="6"/>
    <x v="1"/>
    <x v="139"/>
  </r>
  <r>
    <n v="3454"/>
    <x v="65"/>
    <x v="3"/>
    <n v="10"/>
    <n v="171"/>
    <n v="1710"/>
    <x v="1"/>
    <x v="8"/>
    <x v="0"/>
    <x v="1"/>
  </r>
  <r>
    <n v="3389"/>
    <x v="217"/>
    <x v="0"/>
    <n v="24"/>
    <n v="69"/>
    <n v="1656"/>
    <x v="4"/>
    <x v="8"/>
    <x v="4"/>
    <x v="108"/>
  </r>
  <r>
    <n v="3009"/>
    <x v="52"/>
    <x v="3"/>
    <n v="5"/>
    <n v="329"/>
    <n v="1645"/>
    <x v="3"/>
    <x v="8"/>
    <x v="4"/>
    <x v="26"/>
  </r>
  <r>
    <n v="3048"/>
    <x v="275"/>
    <x v="3"/>
    <n v="11"/>
    <n v="147"/>
    <n v="1617"/>
    <x v="5"/>
    <x v="5"/>
    <x v="2"/>
    <x v="140"/>
  </r>
  <r>
    <n v="3089"/>
    <x v="46"/>
    <x v="4"/>
    <n v="26"/>
    <n v="59"/>
    <n v="1534"/>
    <x v="1"/>
    <x v="6"/>
    <x v="3"/>
    <x v="1"/>
  </r>
  <r>
    <n v="3321"/>
    <x v="276"/>
    <x v="4"/>
    <n v="3"/>
    <n v="500"/>
    <n v="1500"/>
    <x v="1"/>
    <x v="9"/>
    <x v="3"/>
    <x v="1"/>
  </r>
  <r>
    <n v="3015"/>
    <x v="277"/>
    <x v="3"/>
    <n v="36"/>
    <n v="265"/>
    <n v="9540"/>
    <x v="5"/>
    <x v="5"/>
    <x v="4"/>
    <x v="141"/>
  </r>
  <r>
    <n v="3217"/>
    <x v="278"/>
    <x v="2"/>
    <n v="27"/>
    <n v="129"/>
    <n v="3483"/>
    <x v="0"/>
    <x v="7"/>
    <x v="1"/>
    <x v="142"/>
  </r>
  <r>
    <n v="3255"/>
    <x v="278"/>
    <x v="2"/>
    <n v="4"/>
    <n v="146"/>
    <n v="584"/>
    <x v="0"/>
    <x v="7"/>
    <x v="1"/>
    <x v="142"/>
  </r>
  <r>
    <n v="3113"/>
    <x v="277"/>
    <x v="1"/>
    <n v="32"/>
    <n v="221"/>
    <n v="7072"/>
    <x v="5"/>
    <x v="5"/>
    <x v="4"/>
    <x v="141"/>
  </r>
  <r>
    <n v="3304"/>
    <x v="279"/>
    <x v="1"/>
    <n v="30"/>
    <n v="89"/>
    <n v="2670"/>
    <x v="0"/>
    <x v="6"/>
    <x v="3"/>
    <x v="30"/>
  </r>
  <r>
    <n v="3465"/>
    <x v="280"/>
    <x v="2"/>
    <n v="34"/>
    <n v="336"/>
    <n v="11424"/>
    <x v="0"/>
    <x v="9"/>
    <x v="2"/>
    <x v="143"/>
  </r>
  <r>
    <n v="3468"/>
    <x v="281"/>
    <x v="2"/>
    <n v="9"/>
    <n v="193"/>
    <n v="1737"/>
    <x v="2"/>
    <x v="2"/>
    <x v="0"/>
    <x v="144"/>
  </r>
  <r>
    <n v="3168"/>
    <x v="282"/>
    <x v="3"/>
    <n v="4"/>
    <n v="322"/>
    <n v="1288"/>
    <x v="1"/>
    <x v="7"/>
    <x v="2"/>
    <x v="1"/>
  </r>
  <r>
    <n v="3258"/>
    <x v="90"/>
    <x v="3"/>
    <n v="8"/>
    <n v="126"/>
    <n v="1008"/>
    <x v="1"/>
    <x v="4"/>
    <x v="0"/>
    <x v="1"/>
  </r>
  <r>
    <n v="3324"/>
    <x v="52"/>
    <x v="1"/>
    <n v="5"/>
    <n v="249"/>
    <n v="1245"/>
    <x v="3"/>
    <x v="8"/>
    <x v="4"/>
    <x v="26"/>
  </r>
  <r>
    <n v="3186"/>
    <x v="160"/>
    <x v="1"/>
    <n v="4"/>
    <n v="298"/>
    <n v="1192"/>
    <x v="1"/>
    <x v="4"/>
    <x v="2"/>
    <x v="1"/>
  </r>
  <r>
    <n v="3283"/>
    <x v="283"/>
    <x v="2"/>
    <n v="6"/>
    <n v="116"/>
    <n v="696"/>
    <x v="4"/>
    <x v="1"/>
    <x v="0"/>
    <x v="145"/>
  </r>
  <r>
    <n v="3477"/>
    <x v="208"/>
    <x v="0"/>
    <n v="6"/>
    <n v="187"/>
    <n v="1122"/>
    <x v="4"/>
    <x v="3"/>
    <x v="2"/>
    <x v="105"/>
  </r>
  <r>
    <n v="3112"/>
    <x v="284"/>
    <x v="2"/>
    <n v="5"/>
    <n v="219"/>
    <n v="1095"/>
    <x v="3"/>
    <x v="8"/>
    <x v="2"/>
    <x v="146"/>
  </r>
  <r>
    <n v="3262"/>
    <x v="211"/>
    <x v="2"/>
    <n v="5"/>
    <n v="66"/>
    <n v="330"/>
    <x v="4"/>
    <x v="8"/>
    <x v="0"/>
    <x v="106"/>
  </r>
  <r>
    <n v="3145"/>
    <x v="280"/>
    <x v="1"/>
    <n v="21"/>
    <n v="310"/>
    <n v="6510"/>
    <x v="0"/>
    <x v="9"/>
    <x v="2"/>
    <x v="143"/>
  </r>
  <r>
    <n v="3142"/>
    <x v="280"/>
    <x v="4"/>
    <n v="30"/>
    <n v="173"/>
    <n v="5190"/>
    <x v="0"/>
    <x v="9"/>
    <x v="2"/>
    <x v="143"/>
  </r>
  <r>
    <n v="3069"/>
    <x v="285"/>
    <x v="4"/>
    <n v="10"/>
    <n v="97"/>
    <n v="970"/>
    <x v="1"/>
    <x v="8"/>
    <x v="2"/>
    <x v="1"/>
  </r>
  <r>
    <n v="3191"/>
    <x v="286"/>
    <x v="2"/>
    <n v="15"/>
    <n v="302"/>
    <n v="4530"/>
    <x v="0"/>
    <x v="3"/>
    <x v="1"/>
    <x v="147"/>
  </r>
  <r>
    <n v="3373"/>
    <x v="287"/>
    <x v="0"/>
    <n v="6"/>
    <n v="159"/>
    <n v="954"/>
    <x v="1"/>
    <x v="9"/>
    <x v="2"/>
    <x v="1"/>
  </r>
  <r>
    <n v="3404"/>
    <x v="288"/>
    <x v="3"/>
    <n v="3"/>
    <n v="304"/>
    <n v="912"/>
    <x v="3"/>
    <x v="7"/>
    <x v="2"/>
    <x v="148"/>
  </r>
  <r>
    <n v="3084"/>
    <x v="286"/>
    <x v="0"/>
    <n v="10"/>
    <n v="304"/>
    <n v="3040"/>
    <x v="0"/>
    <x v="3"/>
    <x v="1"/>
    <x v="147"/>
  </r>
  <r>
    <n v="3499"/>
    <x v="289"/>
    <x v="1"/>
    <n v="13"/>
    <n v="268"/>
    <n v="3484"/>
    <x v="0"/>
    <x v="0"/>
    <x v="4"/>
    <x v="149"/>
  </r>
  <r>
    <n v="3334"/>
    <x v="162"/>
    <x v="0"/>
    <n v="2"/>
    <n v="407"/>
    <n v="814"/>
    <x v="2"/>
    <x v="8"/>
    <x v="4"/>
    <x v="82"/>
  </r>
  <r>
    <n v="3141"/>
    <x v="100"/>
    <x v="2"/>
    <n v="15"/>
    <n v="51"/>
    <n v="765"/>
    <x v="1"/>
    <x v="6"/>
    <x v="4"/>
    <x v="1"/>
  </r>
  <r>
    <n v="3274"/>
    <x v="290"/>
    <x v="1"/>
    <n v="41"/>
    <n v="201"/>
    <n v="8241"/>
    <x v="5"/>
    <x v="1"/>
    <x v="4"/>
    <x v="150"/>
  </r>
  <r>
    <n v="3408"/>
    <x v="291"/>
    <x v="0"/>
    <n v="4"/>
    <n v="286"/>
    <n v="1144"/>
    <x v="4"/>
    <x v="7"/>
    <x v="0"/>
    <x v="151"/>
  </r>
  <r>
    <n v="3053"/>
    <x v="290"/>
    <x v="1"/>
    <n v="49"/>
    <n v="101"/>
    <n v="4949"/>
    <x v="5"/>
    <x v="1"/>
    <x v="4"/>
    <x v="150"/>
  </r>
  <r>
    <n v="3474"/>
    <x v="290"/>
    <x v="4"/>
    <n v="33"/>
    <n v="66"/>
    <n v="2178"/>
    <x v="5"/>
    <x v="1"/>
    <x v="4"/>
    <x v="150"/>
  </r>
  <r>
    <n v="3208"/>
    <x v="292"/>
    <x v="1"/>
    <n v="12"/>
    <n v="372"/>
    <n v="4464"/>
    <x v="5"/>
    <x v="8"/>
    <x v="2"/>
    <x v="152"/>
  </r>
  <r>
    <n v="3029"/>
    <x v="293"/>
    <x v="2"/>
    <n v="2"/>
    <n v="286"/>
    <n v="572"/>
    <x v="3"/>
    <x v="0"/>
    <x v="4"/>
    <x v="153"/>
  </r>
  <r>
    <n v="3395"/>
    <x v="294"/>
    <x v="0"/>
    <n v="41"/>
    <n v="139"/>
    <n v="5699"/>
    <x v="2"/>
    <x v="1"/>
    <x v="1"/>
    <x v="154"/>
  </r>
  <r>
    <n v="3296"/>
    <x v="295"/>
    <x v="0"/>
    <n v="7"/>
    <n v="101"/>
    <n v="707"/>
    <x v="1"/>
    <x v="3"/>
    <x v="2"/>
    <x v="1"/>
  </r>
  <r>
    <n v="3134"/>
    <x v="292"/>
    <x v="2"/>
    <n v="45"/>
    <n v="69"/>
    <n v="3105"/>
    <x v="5"/>
    <x v="8"/>
    <x v="2"/>
    <x v="152"/>
  </r>
  <r>
    <n v="3489"/>
    <x v="292"/>
    <x v="3"/>
    <n v="48"/>
    <n v="51"/>
    <n v="2448"/>
    <x v="5"/>
    <x v="8"/>
    <x v="2"/>
    <x v="152"/>
  </r>
  <r>
    <n v="3310"/>
    <x v="296"/>
    <x v="4"/>
    <n v="12"/>
    <n v="58"/>
    <n v="696"/>
    <x v="2"/>
    <x v="2"/>
    <x v="4"/>
    <x v="155"/>
  </r>
  <r>
    <n v="3036"/>
    <x v="289"/>
    <x v="4"/>
    <n v="4"/>
    <n v="60"/>
    <n v="240"/>
    <x v="0"/>
    <x v="0"/>
    <x v="4"/>
    <x v="149"/>
  </r>
  <r>
    <n v="3118"/>
    <x v="294"/>
    <x v="0"/>
    <n v="40"/>
    <n v="127"/>
    <n v="5080"/>
    <x v="2"/>
    <x v="1"/>
    <x v="1"/>
    <x v="154"/>
  </r>
  <r>
    <n v="3240"/>
    <x v="173"/>
    <x v="2"/>
    <n v="2"/>
    <n v="345"/>
    <n v="690"/>
    <x v="4"/>
    <x v="9"/>
    <x v="4"/>
    <x v="88"/>
  </r>
  <r>
    <n v="3364"/>
    <x v="297"/>
    <x v="1"/>
    <n v="3"/>
    <n v="433"/>
    <n v="1299"/>
    <x v="1"/>
    <x v="9"/>
    <x v="0"/>
    <x v="1"/>
  </r>
  <r>
    <n v="3243"/>
    <x v="298"/>
    <x v="0"/>
    <n v="3"/>
    <n v="223"/>
    <n v="669"/>
    <x v="1"/>
    <x v="1"/>
    <x v="3"/>
    <x v="1"/>
  </r>
  <r>
    <n v="3225"/>
    <x v="8"/>
    <x v="1"/>
    <n v="3"/>
    <n v="247"/>
    <n v="741"/>
    <x v="4"/>
    <x v="5"/>
    <x v="0"/>
    <x v="5"/>
  </r>
  <r>
    <n v="3490"/>
    <x v="132"/>
    <x v="4"/>
    <n v="5"/>
    <n v="131"/>
    <n v="655"/>
    <x v="2"/>
    <x v="6"/>
    <x v="4"/>
    <x v="62"/>
  </r>
  <r>
    <n v="3466"/>
    <x v="299"/>
    <x v="0"/>
    <n v="6"/>
    <n v="103"/>
    <n v="618"/>
    <x v="1"/>
    <x v="5"/>
    <x v="4"/>
    <x v="1"/>
  </r>
  <r>
    <n v="3422"/>
    <x v="300"/>
    <x v="4"/>
    <n v="36"/>
    <n v="63"/>
    <n v="2268"/>
    <x v="5"/>
    <x v="2"/>
    <x v="2"/>
    <x v="154"/>
  </r>
  <r>
    <n v="3060"/>
    <x v="301"/>
    <x v="0"/>
    <n v="49"/>
    <n v="383"/>
    <n v="18767"/>
    <x v="0"/>
    <x v="6"/>
    <x v="4"/>
    <x v="154"/>
  </r>
  <r>
    <n v="3213"/>
    <x v="302"/>
    <x v="3"/>
    <n v="4"/>
    <n v="137"/>
    <n v="548"/>
    <x v="3"/>
    <x v="5"/>
    <x v="0"/>
    <x v="58"/>
  </r>
  <r>
    <n v="3061"/>
    <x v="303"/>
    <x v="2"/>
    <n v="28"/>
    <n v="170"/>
    <n v="4760"/>
    <x v="5"/>
    <x v="9"/>
    <x v="2"/>
    <x v="3"/>
  </r>
  <r>
    <n v="3356"/>
    <x v="304"/>
    <x v="1"/>
    <n v="3"/>
    <n v="190"/>
    <n v="570"/>
    <x v="1"/>
    <x v="8"/>
    <x v="4"/>
    <x v="1"/>
  </r>
  <r>
    <n v="3439"/>
    <x v="305"/>
    <x v="0"/>
    <n v="3"/>
    <n v="98"/>
    <n v="294"/>
    <x v="1"/>
    <x v="1"/>
    <x v="0"/>
    <x v="1"/>
  </r>
  <r>
    <n v="3424"/>
    <x v="264"/>
    <x v="4"/>
    <n v="2"/>
    <n v="269"/>
    <n v="538"/>
    <x v="1"/>
    <x v="5"/>
    <x v="3"/>
    <x v="1"/>
  </r>
  <r>
    <n v="3171"/>
    <x v="52"/>
    <x v="3"/>
    <n v="3"/>
    <n v="174"/>
    <n v="522"/>
    <x v="3"/>
    <x v="8"/>
    <x v="4"/>
    <x v="26"/>
  </r>
  <r>
    <n v="3224"/>
    <x v="282"/>
    <x v="4"/>
    <n v="1"/>
    <n v="493"/>
    <n v="493"/>
    <x v="1"/>
    <x v="7"/>
    <x v="2"/>
    <x v="1"/>
  </r>
  <r>
    <n v="3047"/>
    <x v="306"/>
    <x v="3"/>
    <n v="1"/>
    <n v="482"/>
    <n v="482"/>
    <x v="4"/>
    <x v="0"/>
    <x v="2"/>
    <x v="156"/>
  </r>
  <r>
    <n v="3273"/>
    <x v="301"/>
    <x v="4"/>
    <n v="49"/>
    <n v="367"/>
    <n v="17983"/>
    <x v="0"/>
    <x v="6"/>
    <x v="4"/>
    <x v="154"/>
  </r>
  <r>
    <n v="3320"/>
    <x v="307"/>
    <x v="0"/>
    <n v="21"/>
    <n v="332"/>
    <n v="6972"/>
    <x v="5"/>
    <x v="2"/>
    <x v="1"/>
    <x v="157"/>
  </r>
  <r>
    <n v="3248"/>
    <x v="308"/>
    <x v="3"/>
    <n v="1"/>
    <n v="396"/>
    <n v="396"/>
    <x v="3"/>
    <x v="8"/>
    <x v="2"/>
    <x v="118"/>
  </r>
  <r>
    <n v="3397"/>
    <x v="309"/>
    <x v="0"/>
    <n v="1"/>
    <n v="392"/>
    <n v="392"/>
    <x v="4"/>
    <x v="5"/>
    <x v="2"/>
    <x v="158"/>
  </r>
  <r>
    <n v="3398"/>
    <x v="101"/>
    <x v="1"/>
    <n v="3"/>
    <n v="128"/>
    <n v="384"/>
    <x v="1"/>
    <x v="5"/>
    <x v="2"/>
    <x v="1"/>
  </r>
  <r>
    <n v="3294"/>
    <x v="310"/>
    <x v="1"/>
    <n v="3"/>
    <n v="88"/>
    <n v="264"/>
    <x v="1"/>
    <x v="1"/>
    <x v="0"/>
    <x v="1"/>
  </r>
  <r>
    <n v="3183"/>
    <x v="311"/>
    <x v="0"/>
    <n v="10"/>
    <n v="91"/>
    <n v="910"/>
    <x v="0"/>
    <x v="1"/>
    <x v="3"/>
    <x v="159"/>
  </r>
  <r>
    <n v="3204"/>
    <x v="312"/>
    <x v="0"/>
    <n v="2"/>
    <n v="150"/>
    <n v="300"/>
    <x v="1"/>
    <x v="0"/>
    <x v="3"/>
    <x v="1"/>
  </r>
  <r>
    <n v="3075"/>
    <x v="313"/>
    <x v="2"/>
    <n v="2"/>
    <n v="369"/>
    <n v="738"/>
    <x v="1"/>
    <x v="7"/>
    <x v="0"/>
    <x v="1"/>
  </r>
  <r>
    <n v="3411"/>
    <x v="314"/>
    <x v="4"/>
    <n v="1"/>
    <n v="278"/>
    <n v="278"/>
    <x v="1"/>
    <x v="5"/>
    <x v="4"/>
    <x v="1"/>
  </r>
  <r>
    <n v="3230"/>
    <x v="176"/>
    <x v="1"/>
    <n v="3"/>
    <n v="90"/>
    <n v="270"/>
    <x v="1"/>
    <x v="5"/>
    <x v="2"/>
    <x v="1"/>
  </r>
  <r>
    <n v="3328"/>
    <x v="307"/>
    <x v="1"/>
    <n v="50"/>
    <n v="109"/>
    <n v="5450"/>
    <x v="5"/>
    <x v="2"/>
    <x v="1"/>
    <x v="157"/>
  </r>
  <r>
    <n v="3480"/>
    <x v="315"/>
    <x v="2"/>
    <n v="2"/>
    <n v="356"/>
    <n v="712"/>
    <x v="4"/>
    <x v="1"/>
    <x v="0"/>
    <x v="160"/>
  </r>
  <r>
    <n v="3322"/>
    <x v="316"/>
    <x v="2"/>
    <n v="5"/>
    <n v="471"/>
    <n v="2355"/>
    <x v="0"/>
    <x v="1"/>
    <x v="1"/>
    <x v="161"/>
  </r>
  <r>
    <n v="3400"/>
    <x v="317"/>
    <x v="2"/>
    <n v="16"/>
    <n v="345"/>
    <n v="5520"/>
    <x v="5"/>
    <x v="0"/>
    <x v="1"/>
    <x v="162"/>
  </r>
  <r>
    <n v="3385"/>
    <x v="317"/>
    <x v="3"/>
    <n v="46"/>
    <n v="114"/>
    <n v="5244"/>
    <x v="5"/>
    <x v="0"/>
    <x v="1"/>
    <x v="162"/>
  </r>
  <r>
    <n v="3074"/>
    <x v="85"/>
    <x v="4"/>
    <n v="1"/>
    <n v="236"/>
    <n v="236"/>
    <x v="1"/>
    <x v="2"/>
    <x v="0"/>
    <x v="1"/>
  </r>
  <r>
    <n v="3010"/>
    <x v="318"/>
    <x v="4"/>
    <n v="1"/>
    <n v="168"/>
    <n v="168"/>
    <x v="1"/>
    <x v="4"/>
    <x v="2"/>
    <x v="1"/>
  </r>
  <r>
    <n v="3122"/>
    <x v="317"/>
    <x v="3"/>
    <n v="3"/>
    <n v="89"/>
    <n v="267"/>
    <x v="5"/>
    <x v="0"/>
    <x v="1"/>
    <x v="162"/>
  </r>
  <r>
    <n v="3095"/>
    <x v="170"/>
    <x v="3"/>
    <n v="1"/>
    <n v="115"/>
    <n v="115"/>
    <x v="1"/>
    <x v="0"/>
    <x v="4"/>
    <x v="1"/>
  </r>
  <r>
    <n v="3333"/>
    <x v="319"/>
    <x v="2"/>
    <n v="4"/>
    <n v="191"/>
    <n v="764"/>
    <x v="5"/>
    <x v="5"/>
    <x v="2"/>
    <x v="1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C186A-C471-483D-B6E2-CD1F14DD19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showAll="0"/>
    <pivotField showAll="0"/>
    <pivotField axis="axisRow"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i>
    <i>
      <x v="1"/>
    </i>
    <i>
      <x v="2"/>
    </i>
    <i>
      <x v="3"/>
    </i>
    <i>
      <x v="4"/>
    </i>
    <i t="grand">
      <x/>
    </i>
  </rowItems>
  <colItems count="1">
    <i/>
  </colItems>
  <dataFields count="1">
    <dataField name="Sum of maximum revenue"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B033B1-A31D-4280-8B0F-36D387F72F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0">
    <pivotField showAll="0"/>
    <pivotField showAll="0"/>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axis="axisRow"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7"/>
  </rowFields>
  <rowItems count="11">
    <i>
      <x/>
    </i>
    <i>
      <x v="1"/>
    </i>
    <i>
      <x v="2"/>
    </i>
    <i>
      <x v="3"/>
    </i>
    <i>
      <x v="4"/>
    </i>
    <i>
      <x v="5"/>
    </i>
    <i>
      <x v="6"/>
    </i>
    <i>
      <x v="7"/>
    </i>
    <i>
      <x v="8"/>
    </i>
    <i>
      <x v="9"/>
    </i>
    <i t="grand">
      <x/>
    </i>
  </rowItems>
  <colItems count="1">
    <i/>
  </colItems>
  <dataFields count="1">
    <dataField name="Sum of maximum revenue" fld="5"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0" format="10">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93C976-F3D9-4D47-8259-7A8B52E0FB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0">
    <pivotField showAll="0"/>
    <pivotField showAll="0"/>
    <pivotField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axis="axisRow" showAll="0">
      <items count="11">
        <item x="8"/>
        <item x="5"/>
        <item x="0"/>
        <item x="3"/>
        <item x="4"/>
        <item x="2"/>
        <item x="1"/>
        <item x="7"/>
        <item x="9"/>
        <item x="6"/>
        <item t="default"/>
      </items>
    </pivotField>
    <pivotField showAll="0">
      <items count="6">
        <item x="1"/>
        <item x="3"/>
        <item x="2"/>
        <item x="0"/>
        <item x="4"/>
        <item t="default"/>
      </items>
    </pivotField>
    <pivotField dataField="1" showAll="0"/>
  </pivotFields>
  <rowFields count="1">
    <field x="7"/>
  </rowFields>
  <rowItems count="11">
    <i>
      <x/>
    </i>
    <i>
      <x v="1"/>
    </i>
    <i>
      <x v="2"/>
    </i>
    <i>
      <x v="3"/>
    </i>
    <i>
      <x v="4"/>
    </i>
    <i>
      <x v="5"/>
    </i>
    <i>
      <x v="6"/>
    </i>
    <i>
      <x v="7"/>
    </i>
    <i>
      <x v="8"/>
    </i>
    <i>
      <x v="9"/>
    </i>
    <i t="grand">
      <x/>
    </i>
  </rowItems>
  <colItems count="1">
    <i/>
  </colItems>
  <dataFields count="1">
    <dataField name="Count of stock quantit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587AF9-2C74-4406-A649-0A32FFD803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L9" firstHeaderRow="1" firstDataRow="2" firstDataCol="1"/>
  <pivotFields count="10">
    <pivotField showAll="0"/>
    <pivotField showAll="0"/>
    <pivotField showAll="0">
      <items count="6">
        <item x="1"/>
        <item x="3"/>
        <item x="0"/>
        <item x="4"/>
        <item x="2"/>
        <item t="default"/>
      </items>
    </pivotField>
    <pivotField showAll="0"/>
    <pivotField showAll="0"/>
    <pivotField showAll="0"/>
    <pivotField axis="axisRow" showAll="0">
      <items count="8">
        <item x="3"/>
        <item x="4"/>
        <item x="5"/>
        <item x="2"/>
        <item m="1" x="6"/>
        <item x="0"/>
        <item x="1"/>
        <item t="default"/>
      </items>
    </pivotField>
    <pivotField axis="axisCol" showAll="0">
      <items count="11">
        <item x="8"/>
        <item x="5"/>
        <item x="0"/>
        <item x="3"/>
        <item x="4"/>
        <item x="2"/>
        <item x="1"/>
        <item x="7"/>
        <item x="9"/>
        <item x="6"/>
        <item t="default"/>
      </items>
    </pivotField>
    <pivotField showAll="0">
      <items count="6">
        <item x="1"/>
        <item x="3"/>
        <item x="2"/>
        <item x="0"/>
        <item x="4"/>
        <item t="default"/>
      </items>
    </pivotField>
    <pivotField dataField="1" showAll="0"/>
  </pivotFields>
  <rowFields count="1">
    <field x="6"/>
  </rowFields>
  <rowItems count="7">
    <i>
      <x/>
    </i>
    <i>
      <x v="1"/>
    </i>
    <i>
      <x v="2"/>
    </i>
    <i>
      <x v="3"/>
    </i>
    <i>
      <x v="5"/>
    </i>
    <i>
      <x v="6"/>
    </i>
    <i t="grand">
      <x/>
    </i>
  </rowItems>
  <colFields count="1">
    <field x="7"/>
  </colFields>
  <colItems count="11">
    <i>
      <x/>
    </i>
    <i>
      <x v="1"/>
    </i>
    <i>
      <x v="2"/>
    </i>
    <i>
      <x v="3"/>
    </i>
    <i>
      <x v="4"/>
    </i>
    <i>
      <x v="5"/>
    </i>
    <i>
      <x v="6"/>
    </i>
    <i>
      <x v="7"/>
    </i>
    <i>
      <x v="8"/>
    </i>
    <i>
      <x v="9"/>
    </i>
    <i t="grand">
      <x/>
    </i>
  </colItems>
  <dataFields count="1">
    <dataField name="Count of stock quantity" fld="9" subtotal="count" baseField="0" baseItem="0"/>
  </dataFields>
  <chartFormats count="22">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4"/>
          </reference>
        </references>
      </pivotArea>
    </chartFormat>
    <chartFormat chart="1" format="5" series="1">
      <pivotArea type="data" outline="0" fieldPosition="0">
        <references count="2">
          <reference field="4294967294" count="1" selected="0">
            <x v="0"/>
          </reference>
          <reference field="7" count="1" selected="0">
            <x v="5"/>
          </reference>
        </references>
      </pivotArea>
    </chartFormat>
    <chartFormat chart="1" format="6" series="1">
      <pivotArea type="data" outline="0" fieldPosition="0">
        <references count="2">
          <reference field="4294967294" count="1" selected="0">
            <x v="0"/>
          </reference>
          <reference field="7" count="1" selected="0">
            <x v="6"/>
          </reference>
        </references>
      </pivotArea>
    </chartFormat>
    <chartFormat chart="1" format="7" series="1">
      <pivotArea type="data" outline="0" fieldPosition="0">
        <references count="2">
          <reference field="4294967294" count="1" selected="0">
            <x v="0"/>
          </reference>
          <reference field="7" count="1" selected="0">
            <x v="7"/>
          </reference>
        </references>
      </pivotArea>
    </chartFormat>
    <chartFormat chart="1" format="8" series="1">
      <pivotArea type="data" outline="0" fieldPosition="0">
        <references count="2">
          <reference field="4294967294" count="1" selected="0">
            <x v="0"/>
          </reference>
          <reference field="7" count="1" selected="0">
            <x v="8"/>
          </reference>
        </references>
      </pivotArea>
    </chartFormat>
    <chartFormat chart="1" format="9" series="1">
      <pivotArea type="data" outline="0" fieldPosition="0">
        <references count="2">
          <reference field="4294967294" count="1" selected="0">
            <x v="0"/>
          </reference>
          <reference field="7" count="1" selected="0">
            <x v="9"/>
          </reference>
        </references>
      </pivotArea>
    </chartFormat>
    <chartFormat chart="7" format="20" series="1">
      <pivotArea type="data" outline="0" fieldPosition="0">
        <references count="2">
          <reference field="4294967294" count="1" selected="0">
            <x v="0"/>
          </reference>
          <reference field="7" count="1" selected="0">
            <x v="0"/>
          </reference>
        </references>
      </pivotArea>
    </chartFormat>
    <chartFormat chart="7" format="21" series="1">
      <pivotArea type="data" outline="0" fieldPosition="0">
        <references count="2">
          <reference field="4294967294" count="1" selected="0">
            <x v="0"/>
          </reference>
          <reference field="7" count="1" selected="0">
            <x v="1"/>
          </reference>
        </references>
      </pivotArea>
    </chartFormat>
    <chartFormat chart="7" format="22" series="1">
      <pivotArea type="data" outline="0" fieldPosition="0">
        <references count="2">
          <reference field="4294967294" count="1" selected="0">
            <x v="0"/>
          </reference>
          <reference field="7" count="1" selected="0">
            <x v="2"/>
          </reference>
        </references>
      </pivotArea>
    </chartFormat>
    <chartFormat chart="7" format="23" series="1">
      <pivotArea type="data" outline="0" fieldPosition="0">
        <references count="2">
          <reference field="4294967294" count="1" selected="0">
            <x v="0"/>
          </reference>
          <reference field="7" count="1" selected="0">
            <x v="3"/>
          </reference>
        </references>
      </pivotArea>
    </chartFormat>
    <chartFormat chart="7" format="24" series="1">
      <pivotArea type="data" outline="0" fieldPosition="0">
        <references count="2">
          <reference field="4294967294" count="1" selected="0">
            <x v="0"/>
          </reference>
          <reference field="7" count="1" selected="0">
            <x v="4"/>
          </reference>
        </references>
      </pivotArea>
    </chartFormat>
    <chartFormat chart="7" format="25" series="1">
      <pivotArea type="data" outline="0" fieldPosition="0">
        <references count="2">
          <reference field="4294967294" count="1" selected="0">
            <x v="0"/>
          </reference>
          <reference field="7" count="1" selected="0">
            <x v="5"/>
          </reference>
        </references>
      </pivotArea>
    </chartFormat>
    <chartFormat chart="7" format="26" series="1">
      <pivotArea type="data" outline="0" fieldPosition="0">
        <references count="2">
          <reference field="4294967294" count="1" selected="0">
            <x v="0"/>
          </reference>
          <reference field="7" count="1" selected="0">
            <x v="6"/>
          </reference>
        </references>
      </pivotArea>
    </chartFormat>
    <chartFormat chart="7" format="27" series="1">
      <pivotArea type="data" outline="0" fieldPosition="0">
        <references count="2">
          <reference field="4294967294" count="1" selected="0">
            <x v="0"/>
          </reference>
          <reference field="7" count="1" selected="0">
            <x v="7"/>
          </reference>
        </references>
      </pivotArea>
    </chartFormat>
    <chartFormat chart="7" format="28" series="1">
      <pivotArea type="data" outline="0" fieldPosition="0">
        <references count="2">
          <reference field="4294967294" count="1" selected="0">
            <x v="0"/>
          </reference>
          <reference field="7" count="1" selected="0">
            <x v="8"/>
          </reference>
        </references>
      </pivotArea>
    </chartFormat>
    <chartFormat chart="7" format="29" series="1">
      <pivotArea type="data" outline="0" fieldPosition="0">
        <references count="2">
          <reference field="4294967294" count="1" selected="0">
            <x v="0"/>
          </reference>
          <reference field="7" count="1" selected="0">
            <x v="9"/>
          </reference>
        </references>
      </pivotArea>
    </chartFormat>
    <chartFormat chart="7" format="30"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8DD77E-0406-411B-B54F-59374A9DBD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7" firstHeaderRow="1" firstDataRow="1" firstDataCol="1"/>
  <pivotFields count="10">
    <pivotField dataField="1" showAll="0"/>
    <pivotField showAll="0"/>
    <pivotField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axis="axisRow" showAll="0">
      <items count="164">
        <item x="126"/>
        <item x="148"/>
        <item x="12"/>
        <item x="144"/>
        <item x="162"/>
        <item x="157"/>
        <item x="161"/>
        <item x="159"/>
        <item x="79"/>
        <item x="3"/>
        <item x="105"/>
        <item x="154"/>
        <item x="149"/>
        <item x="152"/>
        <item x="147"/>
        <item x="143"/>
        <item x="30"/>
        <item x="142"/>
        <item x="150"/>
        <item x="139"/>
        <item x="137"/>
        <item x="51"/>
        <item x="25"/>
        <item x="136"/>
        <item x="134"/>
        <item x="129"/>
        <item x="39"/>
        <item x="141"/>
        <item x="5"/>
        <item x="128"/>
        <item x="124"/>
        <item x="48"/>
        <item x="123"/>
        <item x="140"/>
        <item x="68"/>
        <item x="36"/>
        <item x="132"/>
        <item x="43"/>
        <item x="26"/>
        <item x="108"/>
        <item x="145"/>
        <item x="131"/>
        <item x="130"/>
        <item x="127"/>
        <item x="122"/>
        <item x="121"/>
        <item x="117"/>
        <item x="118"/>
        <item x="16"/>
        <item x="62"/>
        <item x="74"/>
        <item x="100"/>
        <item x="119"/>
        <item x="125"/>
        <item x="78"/>
        <item x="34"/>
        <item x="116"/>
        <item x="64"/>
        <item x="114"/>
        <item x="61"/>
        <item x="113"/>
        <item x="73"/>
        <item x="111"/>
        <item x="109"/>
        <item x="133"/>
        <item x="47"/>
        <item x="37"/>
        <item x="156"/>
        <item x="20"/>
        <item x="104"/>
        <item x="110"/>
        <item x="71"/>
        <item x="54"/>
        <item x="107"/>
        <item x="99"/>
        <item x="82"/>
        <item x="32"/>
        <item x="101"/>
        <item x="97"/>
        <item x="98"/>
        <item x="89"/>
        <item x="95"/>
        <item x="2"/>
        <item x="96"/>
        <item x="91"/>
        <item x="44"/>
        <item x="87"/>
        <item x="83"/>
        <item x="90"/>
        <item x="115"/>
        <item x="85"/>
        <item x="94"/>
        <item x="77"/>
        <item x="38"/>
        <item x="153"/>
        <item x="155"/>
        <item x="27"/>
        <item x="112"/>
        <item x="120"/>
        <item x="158"/>
        <item x="70"/>
        <item x="66"/>
        <item x="53"/>
        <item x="93"/>
        <item x="60"/>
        <item x="23"/>
        <item x="59"/>
        <item x="92"/>
        <item x="58"/>
        <item x="80"/>
        <item x="24"/>
        <item x="86"/>
        <item x="57"/>
        <item x="33"/>
        <item x="84"/>
        <item x="106"/>
        <item x="40"/>
        <item x="55"/>
        <item x="81"/>
        <item x="75"/>
        <item x="69"/>
        <item x="50"/>
        <item x="160"/>
        <item x="17"/>
        <item x="67"/>
        <item x="31"/>
        <item x="56"/>
        <item x="19"/>
        <item x="52"/>
        <item x="46"/>
        <item x="15"/>
        <item x="49"/>
        <item x="18"/>
        <item x="41"/>
        <item x="65"/>
        <item x="28"/>
        <item x="45"/>
        <item x="72"/>
        <item x="14"/>
        <item x="35"/>
        <item x="42"/>
        <item x="138"/>
        <item x="13"/>
        <item x="9"/>
        <item x="22"/>
        <item x="4"/>
        <item x="11"/>
        <item x="76"/>
        <item x="63"/>
        <item x="146"/>
        <item x="29"/>
        <item x="10"/>
        <item x="7"/>
        <item x="0"/>
        <item x="88"/>
        <item x="102"/>
        <item x="103"/>
        <item x="21"/>
        <item x="151"/>
        <item x="8"/>
        <item x="135"/>
        <item x="6"/>
        <item x="1"/>
        <item t="default"/>
      </items>
    </pivotField>
  </pivotFields>
  <rowFields count="1">
    <field x="9"/>
  </rowFields>
  <rowItems count="1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t="grand">
      <x/>
    </i>
  </rowItems>
  <colItems count="1">
    <i/>
  </colItems>
  <dataFields count="1">
    <dataField name="Sum of Sale_ID" fld="0" baseField="9" baseItem="16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404049-411A-4A27-A86C-A2F69FB220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showAll="0"/>
    <pivotField showAll="0"/>
    <pivotField axis="axisRow" showAll="0">
      <items count="6">
        <item x="1"/>
        <item x="3"/>
        <item x="0"/>
        <item x="4"/>
        <item x="2"/>
        <item t="default"/>
      </items>
    </pivotField>
    <pivotField dataField="1" showAll="0"/>
    <pivotField showAll="0"/>
    <pivotField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i>
    <i>
      <x v="1"/>
    </i>
    <i>
      <x v="2"/>
    </i>
    <i>
      <x v="3"/>
    </i>
    <i>
      <x v="4"/>
    </i>
    <i t="grand">
      <x/>
    </i>
  </rowItems>
  <colItems count="1">
    <i/>
  </colItems>
  <dataFields count="1">
    <dataField name="Sum of Units_Sold" fld="3" showDataAs="percentOfTotal" baseField="2" baseItem="0" numFmtId="1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02A075-9C08-4E25-AD25-087BD07ABCA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L10" firstHeaderRow="1" firstDataRow="2" firstDataCol="1"/>
  <pivotFields count="10">
    <pivotField showAll="0"/>
    <pivotField dataField="1" showAll="0"/>
    <pivotField axis="axisRow"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axis="axisCol"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i>
    <i>
      <x v="1"/>
    </i>
    <i>
      <x v="2"/>
    </i>
    <i>
      <x v="3"/>
    </i>
    <i>
      <x v="4"/>
    </i>
    <i t="grand">
      <x/>
    </i>
  </rowItems>
  <colFields count="1">
    <field x="7"/>
  </colFields>
  <colItems count="11">
    <i>
      <x/>
    </i>
    <i>
      <x v="1"/>
    </i>
    <i>
      <x v="2"/>
    </i>
    <i>
      <x v="3"/>
    </i>
    <i>
      <x v="4"/>
    </i>
    <i>
      <x v="5"/>
    </i>
    <i>
      <x v="6"/>
    </i>
    <i>
      <x v="7"/>
    </i>
    <i>
      <x v="8"/>
    </i>
    <i>
      <x v="9"/>
    </i>
    <i t="grand">
      <x/>
    </i>
  </colItems>
  <dataFields count="1">
    <dataField name="Count of Plant_ID" fld="1" subtotal="count" baseField="2" baseItem="0"/>
  </dataFields>
  <chartFormats count="11">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 chart="0" format="8" series="1">
      <pivotArea type="data" outline="0" fieldPosition="0">
        <references count="2">
          <reference field="4294967294" count="1" selected="0">
            <x v="0"/>
          </reference>
          <reference field="7" count="1" selected="0">
            <x v="8"/>
          </reference>
        </references>
      </pivotArea>
    </chartFormat>
    <chartFormat chart="0" format="9" series="1">
      <pivotArea type="data" outline="0" fieldPosition="0">
        <references count="2">
          <reference field="4294967294" count="1" selected="0">
            <x v="0"/>
          </reference>
          <reference field="7" count="1" selected="0">
            <x v="9"/>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381D1A-BB3C-4614-A4D1-27EB0B752F6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L8" firstHeaderRow="1" firstDataRow="2" firstDataCol="1"/>
  <pivotFields count="10">
    <pivotField showAll="0"/>
    <pivotField dataField="1" showAll="0"/>
    <pivotField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axis="axisCol" showAll="0">
      <items count="11">
        <item x="8"/>
        <item x="5"/>
        <item x="0"/>
        <item x="3"/>
        <item x="4"/>
        <item x="2"/>
        <item x="1"/>
        <item x="7"/>
        <item x="9"/>
        <item x="6"/>
        <item t="default"/>
      </items>
    </pivotField>
    <pivotField axis="axisRow" showAll="0">
      <items count="6">
        <item x="1"/>
        <item x="3"/>
        <item x="2"/>
        <item x="0"/>
        <item x="4"/>
        <item t="default"/>
      </items>
    </pivotField>
    <pivotField showAll="0"/>
  </pivotFields>
  <rowFields count="1">
    <field x="8"/>
  </rowFields>
  <rowItems count="6">
    <i>
      <x/>
    </i>
    <i>
      <x v="1"/>
    </i>
    <i>
      <x v="2"/>
    </i>
    <i>
      <x v="3"/>
    </i>
    <i>
      <x v="4"/>
    </i>
    <i t="grand">
      <x/>
    </i>
  </rowItems>
  <colFields count="1">
    <field x="7"/>
  </colFields>
  <colItems count="11">
    <i>
      <x/>
    </i>
    <i>
      <x v="1"/>
    </i>
    <i>
      <x v="2"/>
    </i>
    <i>
      <x v="3"/>
    </i>
    <i>
      <x v="4"/>
    </i>
    <i>
      <x v="5"/>
    </i>
    <i>
      <x v="6"/>
    </i>
    <i>
      <x v="7"/>
    </i>
    <i>
      <x v="8"/>
    </i>
    <i>
      <x v="9"/>
    </i>
    <i t="grand">
      <x/>
    </i>
  </colItems>
  <dataFields count="1">
    <dataField name="Count of Plant_ID" fld="1" subtotal="count" baseField="7" baseItem="0"/>
  </dataFields>
  <chartFormats count="75">
    <chartFormat chart="0" format="0" series="1">
      <pivotArea type="data" outline="0" fieldPosition="0">
        <references count="1">
          <reference field="8" count="1" selected="0">
            <x v="0"/>
          </reference>
        </references>
      </pivotArea>
    </chartFormat>
    <chartFormat chart="0" format="1" series="1">
      <pivotArea type="data" outline="0" fieldPosition="0">
        <references count="1">
          <reference field="8" count="1" selected="0">
            <x v="1"/>
          </reference>
        </references>
      </pivotArea>
    </chartFormat>
    <chartFormat chart="0" format="2" series="1">
      <pivotArea type="data" outline="0" fieldPosition="0">
        <references count="1">
          <reference field="8" count="1" selected="0">
            <x v="2"/>
          </reference>
        </references>
      </pivotArea>
    </chartFormat>
    <chartFormat chart="0" format="3" series="1">
      <pivotArea type="data" outline="0" fieldPosition="0">
        <references count="1">
          <reference field="8" count="1" selected="0">
            <x v="3"/>
          </reference>
        </references>
      </pivotArea>
    </chartFormat>
    <chartFormat chart="0" format="4" series="1">
      <pivotArea type="data" outline="0" fieldPosition="0">
        <references count="1">
          <reference field="8" count="1" selected="0">
            <x v="4"/>
          </reference>
        </references>
      </pivotArea>
    </chartFormat>
    <chartFormat chart="0" format="5" series="1">
      <pivotArea type="data" outline="0" fieldPosition="0">
        <references count="3">
          <reference field="4294967294" count="1" selected="0">
            <x v="0"/>
          </reference>
          <reference field="7" count="1" selected="0">
            <x v="5"/>
          </reference>
          <reference field="8" count="1" selected="0">
            <x v="0"/>
          </reference>
        </references>
      </pivotArea>
    </chartFormat>
    <chartFormat chart="0" format="6" series="1">
      <pivotArea type="data" outline="0" fieldPosition="0">
        <references count="3">
          <reference field="4294967294" count="1" selected="0">
            <x v="0"/>
          </reference>
          <reference field="7" count="1" selected="0">
            <x v="6"/>
          </reference>
          <reference field="8" count="1" selected="0">
            <x v="0"/>
          </reference>
        </references>
      </pivotArea>
    </chartFormat>
    <chartFormat chart="0" format="7" series="1">
      <pivotArea type="data" outline="0" fieldPosition="0">
        <references count="3">
          <reference field="4294967294" count="1" selected="0">
            <x v="0"/>
          </reference>
          <reference field="7" count="1" selected="0">
            <x v="7"/>
          </reference>
          <reference field="8" count="1" selected="0">
            <x v="0"/>
          </reference>
        </references>
      </pivotArea>
    </chartFormat>
    <chartFormat chart="0" format="8" series="1">
      <pivotArea type="data" outline="0" fieldPosition="0">
        <references count="3">
          <reference field="4294967294" count="1" selected="0">
            <x v="0"/>
          </reference>
          <reference field="7" count="1" selected="0">
            <x v="8"/>
          </reference>
          <reference field="8" count="1" selected="0">
            <x v="0"/>
          </reference>
        </references>
      </pivotArea>
    </chartFormat>
    <chartFormat chart="0" format="9" series="1">
      <pivotArea type="data" outline="0" fieldPosition="0">
        <references count="3">
          <reference field="4294967294" count="1" selected="0">
            <x v="0"/>
          </reference>
          <reference field="7" count="1" selected="0">
            <x v="9"/>
          </reference>
          <reference field="8" count="1" selected="0">
            <x v="0"/>
          </reference>
        </references>
      </pivotArea>
    </chartFormat>
    <chartFormat chart="0" format="10" series="1">
      <pivotArea type="data" outline="0" fieldPosition="0">
        <references count="3">
          <reference field="4294967294" count="1" selected="0">
            <x v="0"/>
          </reference>
          <reference field="7" count="1" selected="0">
            <x v="0"/>
          </reference>
          <reference field="8" count="1" selected="0">
            <x v="1"/>
          </reference>
        </references>
      </pivotArea>
    </chartFormat>
    <chartFormat chart="0" format="11" series="1">
      <pivotArea type="data" outline="0" fieldPosition="0">
        <references count="3">
          <reference field="4294967294" count="1" selected="0">
            <x v="0"/>
          </reference>
          <reference field="7" count="1" selected="0">
            <x v="1"/>
          </reference>
          <reference field="8" count="1" selected="0">
            <x v="1"/>
          </reference>
        </references>
      </pivotArea>
    </chartFormat>
    <chartFormat chart="0" format="12" series="1">
      <pivotArea type="data" outline="0" fieldPosition="0">
        <references count="3">
          <reference field="4294967294" count="1" selected="0">
            <x v="0"/>
          </reference>
          <reference field="7" count="1" selected="0">
            <x v="2"/>
          </reference>
          <reference field="8" count="1" selected="0">
            <x v="1"/>
          </reference>
        </references>
      </pivotArea>
    </chartFormat>
    <chartFormat chart="0" format="13" series="1">
      <pivotArea type="data" outline="0" fieldPosition="0">
        <references count="3">
          <reference field="4294967294" count="1" selected="0">
            <x v="0"/>
          </reference>
          <reference field="7" count="1" selected="0">
            <x v="3"/>
          </reference>
          <reference field="8" count="1" selected="0">
            <x v="1"/>
          </reference>
        </references>
      </pivotArea>
    </chartFormat>
    <chartFormat chart="0" format="14" series="1">
      <pivotArea type="data" outline="0" fieldPosition="0">
        <references count="3">
          <reference field="4294967294" count="1" selected="0">
            <x v="0"/>
          </reference>
          <reference field="7" count="1" selected="0">
            <x v="4"/>
          </reference>
          <reference field="8" count="1" selected="0">
            <x v="1"/>
          </reference>
        </references>
      </pivotArea>
    </chartFormat>
    <chartFormat chart="0" format="15" series="1">
      <pivotArea type="data" outline="0" fieldPosition="0">
        <references count="3">
          <reference field="4294967294" count="1" selected="0">
            <x v="0"/>
          </reference>
          <reference field="7" count="1" selected="0">
            <x v="5"/>
          </reference>
          <reference field="8" count="1" selected="0">
            <x v="1"/>
          </reference>
        </references>
      </pivotArea>
    </chartFormat>
    <chartFormat chart="0" format="16" series="1">
      <pivotArea type="data" outline="0" fieldPosition="0">
        <references count="3">
          <reference field="4294967294" count="1" selected="0">
            <x v="0"/>
          </reference>
          <reference field="7" count="1" selected="0">
            <x v="6"/>
          </reference>
          <reference field="8" count="1" selected="0">
            <x v="1"/>
          </reference>
        </references>
      </pivotArea>
    </chartFormat>
    <chartFormat chart="0" format="17" series="1">
      <pivotArea type="data" outline="0" fieldPosition="0">
        <references count="3">
          <reference field="4294967294" count="1" selected="0">
            <x v="0"/>
          </reference>
          <reference field="7" count="1" selected="0">
            <x v="8"/>
          </reference>
          <reference field="8" count="1" selected="0">
            <x v="1"/>
          </reference>
        </references>
      </pivotArea>
    </chartFormat>
    <chartFormat chart="0" format="18" series="1">
      <pivotArea type="data" outline="0" fieldPosition="0">
        <references count="3">
          <reference field="4294967294" count="1" selected="0">
            <x v="0"/>
          </reference>
          <reference field="7" count="1" selected="0">
            <x v="9"/>
          </reference>
          <reference field="8" count="1" selected="0">
            <x v="1"/>
          </reference>
        </references>
      </pivotArea>
    </chartFormat>
    <chartFormat chart="0" format="19" series="1">
      <pivotArea type="data" outline="0" fieldPosition="0">
        <references count="3">
          <reference field="4294967294" count="1" selected="0">
            <x v="0"/>
          </reference>
          <reference field="7" count="1" selected="0">
            <x v="0"/>
          </reference>
          <reference field="8" count="1" selected="0">
            <x v="2"/>
          </reference>
        </references>
      </pivotArea>
    </chartFormat>
    <chartFormat chart="0" format="20" series="1">
      <pivotArea type="data" outline="0" fieldPosition="0">
        <references count="3">
          <reference field="4294967294" count="1" selected="0">
            <x v="0"/>
          </reference>
          <reference field="7" count="1" selected="0">
            <x v="1"/>
          </reference>
          <reference field="8" count="1" selected="0">
            <x v="2"/>
          </reference>
        </references>
      </pivotArea>
    </chartFormat>
    <chartFormat chart="0" format="21" series="1">
      <pivotArea type="data" outline="0" fieldPosition="0">
        <references count="3">
          <reference field="4294967294" count="1" selected="0">
            <x v="0"/>
          </reference>
          <reference field="7" count="1" selected="0">
            <x v="2"/>
          </reference>
          <reference field="8" count="1" selected="0">
            <x v="2"/>
          </reference>
        </references>
      </pivotArea>
    </chartFormat>
    <chartFormat chart="0" format="22" series="1">
      <pivotArea type="data" outline="0" fieldPosition="0">
        <references count="3">
          <reference field="4294967294" count="1" selected="0">
            <x v="0"/>
          </reference>
          <reference field="7" count="1" selected="0">
            <x v="3"/>
          </reference>
          <reference field="8" count="1" selected="0">
            <x v="2"/>
          </reference>
        </references>
      </pivotArea>
    </chartFormat>
    <chartFormat chart="0" format="23" series="1">
      <pivotArea type="data" outline="0" fieldPosition="0">
        <references count="3">
          <reference field="4294967294" count="1" selected="0">
            <x v="0"/>
          </reference>
          <reference field="7" count="1" selected="0">
            <x v="4"/>
          </reference>
          <reference field="8" count="1" selected="0">
            <x v="2"/>
          </reference>
        </references>
      </pivotArea>
    </chartFormat>
    <chartFormat chart="0" format="24" series="1">
      <pivotArea type="data" outline="0" fieldPosition="0">
        <references count="3">
          <reference field="4294967294" count="1" selected="0">
            <x v="0"/>
          </reference>
          <reference field="7" count="1" selected="0">
            <x v="5"/>
          </reference>
          <reference field="8" count="1" selected="0">
            <x v="2"/>
          </reference>
        </references>
      </pivotArea>
    </chartFormat>
    <chartFormat chart="0" format="25" series="1">
      <pivotArea type="data" outline="0" fieldPosition="0">
        <references count="3">
          <reference field="4294967294" count="1" selected="0">
            <x v="0"/>
          </reference>
          <reference field="7" count="1" selected="0">
            <x v="6"/>
          </reference>
          <reference field="8" count="1" selected="0">
            <x v="2"/>
          </reference>
        </references>
      </pivotArea>
    </chartFormat>
    <chartFormat chart="0" format="26" series="1">
      <pivotArea type="data" outline="0" fieldPosition="0">
        <references count="3">
          <reference field="4294967294" count="1" selected="0">
            <x v="0"/>
          </reference>
          <reference field="7" count="1" selected="0">
            <x v="7"/>
          </reference>
          <reference field="8" count="1" selected="0">
            <x v="2"/>
          </reference>
        </references>
      </pivotArea>
    </chartFormat>
    <chartFormat chart="0" format="27" series="1">
      <pivotArea type="data" outline="0" fieldPosition="0">
        <references count="3">
          <reference field="4294967294" count="1" selected="0">
            <x v="0"/>
          </reference>
          <reference field="7" count="1" selected="0">
            <x v="8"/>
          </reference>
          <reference field="8" count="1" selected="0">
            <x v="2"/>
          </reference>
        </references>
      </pivotArea>
    </chartFormat>
    <chartFormat chart="0" format="28" series="1">
      <pivotArea type="data" outline="0" fieldPosition="0">
        <references count="3">
          <reference field="4294967294" count="1" selected="0">
            <x v="0"/>
          </reference>
          <reference field="7" count="1" selected="0">
            <x v="9"/>
          </reference>
          <reference field="8" count="1" selected="0">
            <x v="2"/>
          </reference>
        </references>
      </pivotArea>
    </chartFormat>
    <chartFormat chart="0" format="29" series="1">
      <pivotArea type="data" outline="0" fieldPosition="0">
        <references count="3">
          <reference field="4294967294" count="1" selected="0">
            <x v="0"/>
          </reference>
          <reference field="7" count="1" selected="0">
            <x v="0"/>
          </reference>
          <reference field="8" count="1" selected="0">
            <x v="3"/>
          </reference>
        </references>
      </pivotArea>
    </chartFormat>
    <chartFormat chart="0" format="30" series="1">
      <pivotArea type="data" outline="0" fieldPosition="0">
        <references count="3">
          <reference field="4294967294" count="1" selected="0">
            <x v="0"/>
          </reference>
          <reference field="7" count="1" selected="0">
            <x v="1"/>
          </reference>
          <reference field="8" count="1" selected="0">
            <x v="3"/>
          </reference>
        </references>
      </pivotArea>
    </chartFormat>
    <chartFormat chart="0" format="31" series="1">
      <pivotArea type="data" outline="0" fieldPosition="0">
        <references count="3">
          <reference field="4294967294" count="1" selected="0">
            <x v="0"/>
          </reference>
          <reference field="7" count="1" selected="0">
            <x v="2"/>
          </reference>
          <reference field="8" count="1" selected="0">
            <x v="3"/>
          </reference>
        </references>
      </pivotArea>
    </chartFormat>
    <chartFormat chart="0" format="32" series="1">
      <pivotArea type="data" outline="0" fieldPosition="0">
        <references count="3">
          <reference field="4294967294" count="1" selected="0">
            <x v="0"/>
          </reference>
          <reference field="7" count="1" selected="0">
            <x v="3"/>
          </reference>
          <reference field="8" count="1" selected="0">
            <x v="3"/>
          </reference>
        </references>
      </pivotArea>
    </chartFormat>
    <chartFormat chart="0" format="33" series="1">
      <pivotArea type="data" outline="0" fieldPosition="0">
        <references count="3">
          <reference field="4294967294" count="1" selected="0">
            <x v="0"/>
          </reference>
          <reference field="7" count="1" selected="0">
            <x v="4"/>
          </reference>
          <reference field="8" count="1" selected="0">
            <x v="3"/>
          </reference>
        </references>
      </pivotArea>
    </chartFormat>
    <chartFormat chart="0" format="34" series="1">
      <pivotArea type="data" outline="0" fieldPosition="0">
        <references count="3">
          <reference field="4294967294" count="1" selected="0">
            <x v="0"/>
          </reference>
          <reference field="7" count="1" selected="0">
            <x v="5"/>
          </reference>
          <reference field="8" count="1" selected="0">
            <x v="3"/>
          </reference>
        </references>
      </pivotArea>
    </chartFormat>
    <chartFormat chart="0" format="35" series="1">
      <pivotArea type="data" outline="0" fieldPosition="0">
        <references count="3">
          <reference field="4294967294" count="1" selected="0">
            <x v="0"/>
          </reference>
          <reference field="7" count="1" selected="0">
            <x v="6"/>
          </reference>
          <reference field="8" count="1" selected="0">
            <x v="3"/>
          </reference>
        </references>
      </pivotArea>
    </chartFormat>
    <chartFormat chart="0" format="36" series="1">
      <pivotArea type="data" outline="0" fieldPosition="0">
        <references count="3">
          <reference field="4294967294" count="1" selected="0">
            <x v="0"/>
          </reference>
          <reference field="7" count="1" selected="0">
            <x v="7"/>
          </reference>
          <reference field="8" count="1" selected="0">
            <x v="3"/>
          </reference>
        </references>
      </pivotArea>
    </chartFormat>
    <chartFormat chart="0" format="37" series="1">
      <pivotArea type="data" outline="0" fieldPosition="0">
        <references count="3">
          <reference field="4294967294" count="1" selected="0">
            <x v="0"/>
          </reference>
          <reference field="7" count="1" selected="0">
            <x v="8"/>
          </reference>
          <reference field="8" count="1" selected="0">
            <x v="3"/>
          </reference>
        </references>
      </pivotArea>
    </chartFormat>
    <chartFormat chart="0" format="38" series="1">
      <pivotArea type="data" outline="0" fieldPosition="0">
        <references count="3">
          <reference field="4294967294" count="1" selected="0">
            <x v="0"/>
          </reference>
          <reference field="7" count="1" selected="0">
            <x v="9"/>
          </reference>
          <reference field="8" count="1" selected="0">
            <x v="3"/>
          </reference>
        </references>
      </pivotArea>
    </chartFormat>
    <chartFormat chart="0" format="39" series="1">
      <pivotArea type="data" outline="0" fieldPosition="0">
        <references count="3">
          <reference field="4294967294" count="1" selected="0">
            <x v="0"/>
          </reference>
          <reference field="7" count="1" selected="0">
            <x v="0"/>
          </reference>
          <reference field="8" count="1" selected="0">
            <x v="4"/>
          </reference>
        </references>
      </pivotArea>
    </chartFormat>
    <chartFormat chart="0" format="40" series="1">
      <pivotArea type="data" outline="0" fieldPosition="0">
        <references count="3">
          <reference field="4294967294" count="1" selected="0">
            <x v="0"/>
          </reference>
          <reference field="7" count="1" selected="0">
            <x v="1"/>
          </reference>
          <reference field="8" count="1" selected="0">
            <x v="4"/>
          </reference>
        </references>
      </pivotArea>
    </chartFormat>
    <chartFormat chart="0" format="41" series="1">
      <pivotArea type="data" outline="0" fieldPosition="0">
        <references count="3">
          <reference field="4294967294" count="1" selected="0">
            <x v="0"/>
          </reference>
          <reference field="7" count="1" selected="0">
            <x v="2"/>
          </reference>
          <reference field="8" count="1" selected="0">
            <x v="4"/>
          </reference>
        </references>
      </pivotArea>
    </chartFormat>
    <chartFormat chart="0" format="42" series="1">
      <pivotArea type="data" outline="0" fieldPosition="0">
        <references count="3">
          <reference field="4294967294" count="1" selected="0">
            <x v="0"/>
          </reference>
          <reference field="7" count="1" selected="0">
            <x v="3"/>
          </reference>
          <reference field="8" count="1" selected="0">
            <x v="4"/>
          </reference>
        </references>
      </pivotArea>
    </chartFormat>
    <chartFormat chart="0" format="43" series="1">
      <pivotArea type="data" outline="0" fieldPosition="0">
        <references count="3">
          <reference field="4294967294" count="1" selected="0">
            <x v="0"/>
          </reference>
          <reference field="7" count="1" selected="0">
            <x v="4"/>
          </reference>
          <reference field="8" count="1" selected="0">
            <x v="4"/>
          </reference>
        </references>
      </pivotArea>
    </chartFormat>
    <chartFormat chart="0" format="44" series="1">
      <pivotArea type="data" outline="0" fieldPosition="0">
        <references count="3">
          <reference field="4294967294" count="1" selected="0">
            <x v="0"/>
          </reference>
          <reference field="7" count="1" selected="0">
            <x v="5"/>
          </reference>
          <reference field="8" count="1" selected="0">
            <x v="4"/>
          </reference>
        </references>
      </pivotArea>
    </chartFormat>
    <chartFormat chart="0" format="45" series="1">
      <pivotArea type="data" outline="0" fieldPosition="0">
        <references count="3">
          <reference field="4294967294" count="1" selected="0">
            <x v="0"/>
          </reference>
          <reference field="7" count="1" selected="0">
            <x v="6"/>
          </reference>
          <reference field="8" count="1" selected="0">
            <x v="4"/>
          </reference>
        </references>
      </pivotArea>
    </chartFormat>
    <chartFormat chart="0" format="46" series="1">
      <pivotArea type="data" outline="0" fieldPosition="0">
        <references count="3">
          <reference field="4294967294" count="1" selected="0">
            <x v="0"/>
          </reference>
          <reference field="7" count="1" selected="0">
            <x v="7"/>
          </reference>
          <reference field="8" count="1" selected="0">
            <x v="4"/>
          </reference>
        </references>
      </pivotArea>
    </chartFormat>
    <chartFormat chart="0" format="47" series="1">
      <pivotArea type="data" outline="0" fieldPosition="0">
        <references count="3">
          <reference field="4294967294" count="1" selected="0">
            <x v="0"/>
          </reference>
          <reference field="7" count="1" selected="0">
            <x v="8"/>
          </reference>
          <reference field="8" count="1" selected="0">
            <x v="4"/>
          </reference>
        </references>
      </pivotArea>
    </chartFormat>
    <chartFormat chart="0" format="48" series="1">
      <pivotArea type="data" outline="0" fieldPosition="0">
        <references count="3">
          <reference field="4294967294" count="1" selected="0">
            <x v="0"/>
          </reference>
          <reference field="7" count="1" selected="0">
            <x v="9"/>
          </reference>
          <reference field="8" count="1" selected="0">
            <x v="4"/>
          </reference>
        </references>
      </pivotArea>
    </chartFormat>
    <chartFormat chart="0" format="49" series="1">
      <pivotArea type="data" outline="0" fieldPosition="0">
        <references count="2">
          <reference field="4294967294" count="1" selected="0">
            <x v="0"/>
          </reference>
          <reference field="7" count="1" selected="0">
            <x v="0"/>
          </reference>
        </references>
      </pivotArea>
    </chartFormat>
    <chartFormat chart="0" format="50" series="1">
      <pivotArea type="data" outline="0" fieldPosition="0">
        <references count="2">
          <reference field="4294967294" count="1" selected="0">
            <x v="0"/>
          </reference>
          <reference field="7" count="1" selected="0">
            <x v="1"/>
          </reference>
        </references>
      </pivotArea>
    </chartFormat>
    <chartFormat chart="0" format="51" series="1">
      <pivotArea type="data" outline="0" fieldPosition="0">
        <references count="2">
          <reference field="4294967294" count="1" selected="0">
            <x v="0"/>
          </reference>
          <reference field="7" count="1" selected="0">
            <x v="2"/>
          </reference>
        </references>
      </pivotArea>
    </chartFormat>
    <chartFormat chart="0" format="52" series="1">
      <pivotArea type="data" outline="0" fieldPosition="0">
        <references count="2">
          <reference field="4294967294" count="1" selected="0">
            <x v="0"/>
          </reference>
          <reference field="7" count="1" selected="0">
            <x v="3"/>
          </reference>
        </references>
      </pivotArea>
    </chartFormat>
    <chartFormat chart="0" format="53" series="1">
      <pivotArea type="data" outline="0" fieldPosition="0">
        <references count="2">
          <reference field="4294967294" count="1" selected="0">
            <x v="0"/>
          </reference>
          <reference field="7" count="1" selected="0">
            <x v="4"/>
          </reference>
        </references>
      </pivotArea>
    </chartFormat>
    <chartFormat chart="0" format="54" series="1">
      <pivotArea type="data" outline="0" fieldPosition="0">
        <references count="2">
          <reference field="4294967294" count="1" selected="0">
            <x v="0"/>
          </reference>
          <reference field="7" count="1" selected="0">
            <x v="5"/>
          </reference>
        </references>
      </pivotArea>
    </chartFormat>
    <chartFormat chart="0" format="55" series="1">
      <pivotArea type="data" outline="0" fieldPosition="0">
        <references count="2">
          <reference field="4294967294" count="1" selected="0">
            <x v="0"/>
          </reference>
          <reference field="7" count="1" selected="0">
            <x v="6"/>
          </reference>
        </references>
      </pivotArea>
    </chartFormat>
    <chartFormat chart="0" format="56" series="1">
      <pivotArea type="data" outline="0" fieldPosition="0">
        <references count="2">
          <reference field="4294967294" count="1" selected="0">
            <x v="0"/>
          </reference>
          <reference field="7" count="1" selected="0">
            <x v="7"/>
          </reference>
        </references>
      </pivotArea>
    </chartFormat>
    <chartFormat chart="0" format="57" series="1">
      <pivotArea type="data" outline="0" fieldPosition="0">
        <references count="2">
          <reference field="4294967294" count="1" selected="0">
            <x v="0"/>
          </reference>
          <reference field="7" count="1" selected="0">
            <x v="8"/>
          </reference>
        </references>
      </pivotArea>
    </chartFormat>
    <chartFormat chart="0" format="58" series="1">
      <pivotArea type="data" outline="0" fieldPosition="0">
        <references count="2">
          <reference field="4294967294" count="1" selected="0">
            <x v="0"/>
          </reference>
          <reference field="7" count="1" selected="0">
            <x v="9"/>
          </reference>
        </references>
      </pivotArea>
    </chartFormat>
    <chartFormat chart="0" format="59" series="1">
      <pivotArea type="data" outline="0" fieldPosition="0">
        <references count="1">
          <reference field="4294967294" count="1" selected="0">
            <x v="0"/>
          </reference>
        </references>
      </pivotArea>
    </chartFormat>
    <chartFormat chart="0" format="60" series="1">
      <pivotArea type="data" outline="0" fieldPosition="0">
        <references count="2">
          <reference field="4294967294" count="1" selected="0">
            <x v="0"/>
          </reference>
          <reference field="8" count="1" selected="0">
            <x v="1"/>
          </reference>
        </references>
      </pivotArea>
    </chartFormat>
    <chartFormat chart="0" format="61" series="1">
      <pivotArea type="data" outline="0" fieldPosition="0">
        <references count="2">
          <reference field="4294967294" count="1" selected="0">
            <x v="0"/>
          </reference>
          <reference field="8" count="1" selected="0">
            <x v="2"/>
          </reference>
        </references>
      </pivotArea>
    </chartFormat>
    <chartFormat chart="0" format="62" series="1">
      <pivotArea type="data" outline="0" fieldPosition="0">
        <references count="2">
          <reference field="4294967294" count="1" selected="0">
            <x v="0"/>
          </reference>
          <reference field="8" count="1" selected="0">
            <x v="3"/>
          </reference>
        </references>
      </pivotArea>
    </chartFormat>
    <chartFormat chart="0" format="63" series="1">
      <pivotArea type="data" outline="0" fieldPosition="0">
        <references count="2">
          <reference field="4294967294" count="1" selected="0">
            <x v="0"/>
          </reference>
          <reference field="8" count="1" selected="0">
            <x v="4"/>
          </reference>
        </references>
      </pivotArea>
    </chartFormat>
    <chartFormat chart="6" format="74" series="1">
      <pivotArea type="data" outline="0" fieldPosition="0">
        <references count="2">
          <reference field="4294967294" count="1" selected="0">
            <x v="0"/>
          </reference>
          <reference field="7" count="1" selected="0">
            <x v="0"/>
          </reference>
        </references>
      </pivotArea>
    </chartFormat>
    <chartFormat chart="6" format="75" series="1">
      <pivotArea type="data" outline="0" fieldPosition="0">
        <references count="2">
          <reference field="4294967294" count="1" selected="0">
            <x v="0"/>
          </reference>
          <reference field="7" count="1" selected="0">
            <x v="1"/>
          </reference>
        </references>
      </pivotArea>
    </chartFormat>
    <chartFormat chart="6" format="76" series="1">
      <pivotArea type="data" outline="0" fieldPosition="0">
        <references count="2">
          <reference field="4294967294" count="1" selected="0">
            <x v="0"/>
          </reference>
          <reference field="7" count="1" selected="0">
            <x v="2"/>
          </reference>
        </references>
      </pivotArea>
    </chartFormat>
    <chartFormat chart="6" format="77" series="1">
      <pivotArea type="data" outline="0" fieldPosition="0">
        <references count="2">
          <reference field="4294967294" count="1" selected="0">
            <x v="0"/>
          </reference>
          <reference field="7" count="1" selected="0">
            <x v="3"/>
          </reference>
        </references>
      </pivotArea>
    </chartFormat>
    <chartFormat chart="6" format="78" series="1">
      <pivotArea type="data" outline="0" fieldPosition="0">
        <references count="2">
          <reference field="4294967294" count="1" selected="0">
            <x v="0"/>
          </reference>
          <reference field="7" count="1" selected="0">
            <x v="4"/>
          </reference>
        </references>
      </pivotArea>
    </chartFormat>
    <chartFormat chart="6" format="79" series="1">
      <pivotArea type="data" outline="0" fieldPosition="0">
        <references count="2">
          <reference field="4294967294" count="1" selected="0">
            <x v="0"/>
          </reference>
          <reference field="7" count="1" selected="0">
            <x v="5"/>
          </reference>
        </references>
      </pivotArea>
    </chartFormat>
    <chartFormat chart="6" format="80" series="1">
      <pivotArea type="data" outline="0" fieldPosition="0">
        <references count="2">
          <reference field="4294967294" count="1" selected="0">
            <x v="0"/>
          </reference>
          <reference field="7" count="1" selected="0">
            <x v="6"/>
          </reference>
        </references>
      </pivotArea>
    </chartFormat>
    <chartFormat chart="6" format="81" series="1">
      <pivotArea type="data" outline="0" fieldPosition="0">
        <references count="2">
          <reference field="4294967294" count="1" selected="0">
            <x v="0"/>
          </reference>
          <reference field="7" count="1" selected="0">
            <x v="7"/>
          </reference>
        </references>
      </pivotArea>
    </chartFormat>
    <chartFormat chart="6" format="82" series="1">
      <pivotArea type="data" outline="0" fieldPosition="0">
        <references count="2">
          <reference field="4294967294" count="1" selected="0">
            <x v="0"/>
          </reference>
          <reference field="7" count="1" selected="0">
            <x v="8"/>
          </reference>
        </references>
      </pivotArea>
    </chartFormat>
    <chartFormat chart="6" format="83" series="1">
      <pivotArea type="data" outline="0" fieldPosition="0">
        <references count="2">
          <reference field="4294967294" count="1" selected="0">
            <x v="0"/>
          </reference>
          <reference field="7" count="1" selected="0">
            <x v="9"/>
          </reference>
        </references>
      </pivotArea>
    </chartFormat>
    <chartFormat chart="6" format="8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7EE4CD-B51D-463F-B79E-F29BDA57DDE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0">
    <pivotField showAll="0"/>
    <pivotField showAll="0"/>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axis="axisRow" showAll="0">
      <items count="6">
        <item x="1"/>
        <item x="3"/>
        <item x="2"/>
        <item x="0"/>
        <item x="4"/>
        <item t="default"/>
      </items>
    </pivotField>
    <pivotField showAll="0"/>
  </pivotFields>
  <rowFields count="1">
    <field x="8"/>
  </rowFields>
  <rowItems count="6">
    <i>
      <x/>
    </i>
    <i>
      <x v="1"/>
    </i>
    <i>
      <x v="2"/>
    </i>
    <i>
      <x v="3"/>
    </i>
    <i>
      <x v="4"/>
    </i>
    <i t="grand">
      <x/>
    </i>
  </rowItems>
  <colItems count="1">
    <i/>
  </colItems>
  <dataFields count="1">
    <dataField name="Sum of maximum revenue" fld="5"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 chart="4" format="5">
      <pivotArea type="data" outline="0" fieldPosition="0">
        <references count="2">
          <reference field="4294967294" count="1" selected="0">
            <x v="0"/>
          </reference>
          <reference field="8" count="1" selected="0">
            <x v="3"/>
          </reference>
        </references>
      </pivotArea>
    </chartFormat>
    <chartFormat chart="4" format="6">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D57797-3767-4EDD-A66A-0EE99BB0F2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4" firstHeaderRow="1" firstDataRow="1" firstDataCol="1"/>
  <pivotFields count="10">
    <pivotField showAll="0"/>
    <pivotField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axis="axisRow" showAll="0" sortType="descending">
      <items count="11">
        <item x="8"/>
        <item x="5"/>
        <item x="0"/>
        <item x="3"/>
        <item x="4"/>
        <item x="2"/>
        <item x="1"/>
        <item x="7"/>
        <item x="9"/>
        <item x="6"/>
        <item t="default"/>
      </items>
      <autoSortScope>
        <pivotArea dataOnly="0" outline="0" fieldPosition="0">
          <references count="1">
            <reference field="4294967294" count="1" selected="0">
              <x v="0"/>
            </reference>
          </references>
        </pivotArea>
      </autoSortScope>
    </pivotField>
    <pivotField showAll="0">
      <items count="6">
        <item x="1"/>
        <item x="3"/>
        <item x="2"/>
        <item x="0"/>
        <item x="4"/>
        <item t="default"/>
      </items>
    </pivotField>
    <pivotField showAll="0"/>
  </pivotFields>
  <rowFields count="1">
    <field x="7"/>
  </rowFields>
  <rowItems count="11">
    <i>
      <x v="4"/>
    </i>
    <i>
      <x v="5"/>
    </i>
    <i>
      <x v="2"/>
    </i>
    <i>
      <x v="9"/>
    </i>
    <i>
      <x v="3"/>
    </i>
    <i>
      <x v="8"/>
    </i>
    <i>
      <x/>
    </i>
    <i>
      <x v="1"/>
    </i>
    <i>
      <x v="6"/>
    </i>
    <i>
      <x v="7"/>
    </i>
    <i t="grand">
      <x/>
    </i>
  </rowItems>
  <colItems count="1">
    <i/>
  </colItems>
  <dataFields count="1">
    <dataField name="Sum of maximum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6581A4-41B4-43F3-A366-2AD4FCE650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324" firstHeaderRow="1" firstDataRow="1" firstDataCol="1"/>
  <pivotFields count="10">
    <pivotField showAll="0"/>
    <pivotField axis="axisRow"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1"/>
  </rowFields>
  <rowItems count="3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t="grand">
      <x/>
    </i>
  </rowItems>
  <colItems count="1">
    <i/>
  </colItems>
  <dataFields count="1">
    <dataField name="Average of maximum revenue" fld="5" subtotal="average" baseField="7" baseItem="2"/>
  </dataFields>
  <formats count="3">
    <format dxfId="2">
      <pivotArea collapsedLevelsAreSubtotals="1" fieldPosition="0">
        <references count="1">
          <reference field="1" count="1">
            <x v="11"/>
          </reference>
        </references>
      </pivotArea>
    </format>
    <format dxfId="1">
      <pivotArea collapsedLevelsAreSubtotals="1" fieldPosition="0">
        <references count="1">
          <reference field="1" count="1">
            <x v="19"/>
          </reference>
        </references>
      </pivotArea>
    </format>
    <format dxfId="0">
      <pivotArea collapsedLevelsAreSubtotals="1" fieldPosition="0">
        <references count="1">
          <reference field="1" count="1">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23E2B6-5EAD-4F5C-B24B-6E70297A20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10">
    <pivotField showAll="0"/>
    <pivotField dataField="1"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axis="axisRow"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7"/>
  </rowFields>
  <rowItems count="11">
    <i>
      <x/>
    </i>
    <i>
      <x v="1"/>
    </i>
    <i>
      <x v="2"/>
    </i>
    <i>
      <x v="3"/>
    </i>
    <i>
      <x v="4"/>
    </i>
    <i>
      <x v="5"/>
    </i>
    <i>
      <x v="6"/>
    </i>
    <i>
      <x v="7"/>
    </i>
    <i>
      <x v="8"/>
    </i>
    <i>
      <x v="9"/>
    </i>
    <i t="grand">
      <x/>
    </i>
  </rowItems>
  <colItems count="1">
    <i/>
  </colItems>
  <dataFields count="1">
    <dataField name="Count of Plant_ID" fld="1"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C46022-CFC9-4AD6-A654-94F51259B9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0">
    <pivotField showAll="0"/>
    <pivotField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axis="axisRow"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i>
    <i>
      <x v="1"/>
    </i>
    <i>
      <x v="2"/>
    </i>
    <i>
      <x v="3"/>
    </i>
    <i>
      <x v="4"/>
    </i>
    <i t="grand">
      <x/>
    </i>
  </rowItems>
  <colItems count="1">
    <i/>
  </colItems>
  <dataFields count="1">
    <dataField name="Sum of maximum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12EFFC-1929-4395-BFC6-5290EED5449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324" firstHeaderRow="1" firstDataRow="1" firstDataCol="1"/>
  <pivotFields count="10">
    <pivotField showAll="0"/>
    <pivotField axis="axisRow"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showAll="0">
      <items count="6">
        <item x="1"/>
        <item x="3"/>
        <item x="0"/>
        <item x="4"/>
        <item x="2"/>
        <item t="default"/>
      </items>
    </pivotField>
    <pivotField dataField="1" showAll="0"/>
    <pivotField showAll="0"/>
    <pivotField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1"/>
  </rowFields>
  <rowItems count="3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t="grand">
      <x/>
    </i>
  </rowItems>
  <colItems count="1">
    <i/>
  </colItems>
  <dataFields count="1">
    <dataField name="Sum of Units_Sold" fld="3"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FE4471-5D38-4DEF-B3F4-9F7E8ADEDDFD}" name="PivotTable7"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
  <location ref="H4:I15" firstHeaderRow="1" firstDataRow="1" firstDataCol="1"/>
  <pivotFields count="10">
    <pivotField showAll="0"/>
    <pivotField showAll="0"/>
    <pivotField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8">
        <item x="3"/>
        <item x="4"/>
        <item x="5"/>
        <item x="2"/>
        <item m="1" x="6"/>
        <item x="0"/>
        <item x="1"/>
        <item t="default"/>
      </items>
    </pivotField>
    <pivotField axis="axisRow" showAll="0" sortType="descending">
      <items count="11">
        <item x="8"/>
        <item x="5"/>
        <item x="0"/>
        <item x="3"/>
        <item x="4"/>
        <item x="2"/>
        <item x="1"/>
        <item x="7"/>
        <item x="9"/>
        <item x="6"/>
        <item t="default"/>
      </items>
      <autoSortScope>
        <pivotArea dataOnly="0" outline="0" fieldPosition="0">
          <references count="1">
            <reference field="4294967294" count="1" selected="0">
              <x v="0"/>
            </reference>
          </references>
        </pivotArea>
      </autoSortScope>
    </pivotField>
    <pivotField showAll="0">
      <items count="6">
        <item x="1"/>
        <item x="3"/>
        <item x="2"/>
        <item x="0"/>
        <item x="4"/>
        <item t="default"/>
      </items>
    </pivotField>
    <pivotField showAll="0"/>
  </pivotFields>
  <rowFields count="1">
    <field x="7"/>
  </rowFields>
  <rowItems count="11">
    <i>
      <x v="4"/>
    </i>
    <i>
      <x v="5"/>
    </i>
    <i>
      <x v="2"/>
    </i>
    <i>
      <x v="9"/>
    </i>
    <i>
      <x v="3"/>
    </i>
    <i>
      <x v="8"/>
    </i>
    <i>
      <x/>
    </i>
    <i>
      <x v="1"/>
    </i>
    <i>
      <x v="6"/>
    </i>
    <i>
      <x v="7"/>
    </i>
    <i t="grand">
      <x/>
    </i>
  </rowItems>
  <colItems count="1">
    <i/>
  </colItems>
  <dataFields count="1">
    <dataField name="Sum of maximum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300BCE-F2CE-45D3-881D-1818287CA6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showAll="0"/>
    <pivotField showAll="0"/>
    <pivotField axis="axisRow"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v="2"/>
    </i>
    <i>
      <x v="3"/>
    </i>
    <i>
      <x v="4"/>
    </i>
    <i>
      <x/>
    </i>
    <i>
      <x v="1"/>
    </i>
    <i t="grand">
      <x/>
    </i>
  </rowItems>
  <colItems count="1">
    <i/>
  </colItems>
  <dataFields count="1">
    <dataField name="Sum of maximum revenue" fld="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 chart="5" format="15">
      <pivotArea type="data" outline="0" fieldPosition="0">
        <references count="2">
          <reference field="4294967294" count="1" selected="0">
            <x v="0"/>
          </reference>
          <reference field="2" count="1" selected="0">
            <x v="4"/>
          </reference>
        </references>
      </pivotArea>
    </chartFormat>
    <chartFormat chart="5" format="16">
      <pivotArea type="data" outline="0" fieldPosition="0">
        <references count="2">
          <reference field="4294967294" count="1" selected="0">
            <x v="0"/>
          </reference>
          <reference field="2" count="1" selected="0">
            <x v="0"/>
          </reference>
        </references>
      </pivotArea>
    </chartFormat>
    <chartFormat chart="5" format="1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D620DA8-3A23-4F97-A961-B1009B08F0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F10" firstHeaderRow="1" firstDataRow="1" firstDataCol="1"/>
  <pivotFields count="10">
    <pivotField showAll="0"/>
    <pivotField showAll="0"/>
    <pivotField showAll="0">
      <items count="6">
        <item x="1"/>
        <item x="3"/>
        <item x="0"/>
        <item x="4"/>
        <item x="2"/>
        <item t="default"/>
      </items>
    </pivotField>
    <pivotField dataField="1" showAll="0"/>
    <pivotField showAll="0"/>
    <pivotField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axis="axisRow" showAll="0">
      <items count="6">
        <item x="1"/>
        <item x="3"/>
        <item x="2"/>
        <item x="0"/>
        <item x="4"/>
        <item t="default"/>
      </items>
    </pivotField>
    <pivotField showAll="0"/>
  </pivotFields>
  <rowFields count="1">
    <field x="8"/>
  </rowFields>
  <rowItems count="6">
    <i>
      <x/>
    </i>
    <i>
      <x v="1"/>
    </i>
    <i>
      <x v="2"/>
    </i>
    <i>
      <x v="3"/>
    </i>
    <i>
      <x v="4"/>
    </i>
    <i t="grand">
      <x/>
    </i>
  </rowItems>
  <colItems count="1">
    <i/>
  </colItems>
  <dataFields count="1">
    <dataField name="Sum of Units_Sold" fld="3" showDataAs="percentOfTotal" baseField="0" baseItem="0" numFmtId="10"/>
  </dataFields>
  <chartFormats count="12">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8" count="1" selected="0">
            <x v="0"/>
          </reference>
        </references>
      </pivotArea>
    </chartFormat>
    <chartFormat chart="7" format="9">
      <pivotArea type="data" outline="0" fieldPosition="0">
        <references count="2">
          <reference field="4294967294" count="1" selected="0">
            <x v="0"/>
          </reference>
          <reference field="8" count="1" selected="0">
            <x v="1"/>
          </reference>
        </references>
      </pivotArea>
    </chartFormat>
    <chartFormat chart="7" format="10">
      <pivotArea type="data" outline="0" fieldPosition="0">
        <references count="2">
          <reference field="4294967294" count="1" selected="0">
            <x v="0"/>
          </reference>
          <reference field="8" count="1" selected="0">
            <x v="2"/>
          </reference>
        </references>
      </pivotArea>
    </chartFormat>
    <chartFormat chart="7" format="11">
      <pivotArea type="data" outline="0" fieldPosition="0">
        <references count="2">
          <reference field="4294967294" count="1" selected="0">
            <x v="0"/>
          </reference>
          <reference field="8" count="1" selected="0">
            <x v="3"/>
          </reference>
        </references>
      </pivotArea>
    </chartFormat>
    <chartFormat chart="7" format="12">
      <pivotArea type="data" outline="0" fieldPosition="0">
        <references count="2">
          <reference field="4294967294" count="1" selected="0">
            <x v="0"/>
          </reference>
          <reference field="8" count="1" selected="0">
            <x v="4"/>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2"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EC15945-B976-4FD8-9FFA-76CA437595A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0">
    <pivotField showAll="0"/>
    <pivotField showAll="0"/>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6">
    <i>
      <x v="2"/>
    </i>
    <i>
      <x/>
    </i>
    <i>
      <x v="4"/>
    </i>
    <i>
      <x v="3"/>
    </i>
    <i>
      <x v="1"/>
    </i>
    <i t="grand">
      <x/>
    </i>
  </rowItems>
  <colItems count="1">
    <i/>
  </colItems>
  <dataFields count="1">
    <dataField name="Sum of maximum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rsery_Name" xr10:uid="{ABDFA37D-B553-4646-A585-D7DD5C2EC5D8}" sourceName="Nursery_Name">
  <pivotTables>
    <pivotTable tabId="17" name="PivotTable9"/>
    <pivotTable tabId="16" name="PivotTable8"/>
    <pivotTable tabId="25" name="PivotTable1"/>
    <pivotTable tabId="25" name="PivotTable10"/>
    <pivotTable tabId="13" name="PivotTable5"/>
    <pivotTable tabId="15" name="PivotTable7"/>
    <pivotTable tabId="6" name="PivotTable1"/>
    <pivotTable tabId="7" name="PivotTable2"/>
    <pivotTable tabId="8" name="PivotTable3"/>
    <pivotTable tabId="23" name="PivotTable6"/>
    <pivotTable tabId="23" name="PivotTable7"/>
    <pivotTable tabId="21" name="PivotTable1"/>
    <pivotTable tabId="21" name="PivotTable2"/>
    <pivotTable tabId="21" name="PivotTable3"/>
    <pivotTable tabId="21" name="PivotTable4"/>
    <pivotTable tabId="21" name="PivotTable5"/>
    <pivotTable tabId="14" name="PivotTable6"/>
    <pivotTable tabId="14" name="PivotTable2"/>
  </pivotTables>
  <data>
    <tabular pivotCacheId="1232111331">
      <items count="5">
        <i x="1" s="1"/>
        <i x="3"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9D9AA02-42F8-4709-B8D4-04BF7C74D8CA}" sourceName="location">
  <pivotTables>
    <pivotTable tabId="17" name="PivotTable9"/>
    <pivotTable tabId="16" name="PivotTable8"/>
    <pivotTable tabId="25" name="PivotTable1"/>
    <pivotTable tabId="25" name="PivotTable10"/>
    <pivotTable tabId="13" name="PivotTable5"/>
    <pivotTable tabId="15" name="PivotTable7"/>
    <pivotTable tabId="6" name="PivotTable1"/>
    <pivotTable tabId="7" name="PivotTable2"/>
    <pivotTable tabId="8" name="PivotTable3"/>
    <pivotTable tabId="23" name="PivotTable6"/>
    <pivotTable tabId="23" name="PivotTable7"/>
    <pivotTable tabId="21" name="PivotTable1"/>
    <pivotTable tabId="21" name="PivotTable2"/>
    <pivotTable tabId="21" name="PivotTable3"/>
    <pivotTable tabId="21" name="PivotTable4"/>
    <pivotTable tabId="21" name="PivotTable5"/>
    <pivotTable tabId="14" name="PivotTable6"/>
    <pivotTable tabId="14" name="PivotTable2"/>
  </pivotTables>
  <data>
    <tabular pivotCacheId="1232111331">
      <items count="7">
        <i x="3" s="1"/>
        <i x="4" s="1"/>
        <i x="5" s="1"/>
        <i x="2" s="1"/>
        <i x="0" s="1"/>
        <i x="1"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name" xr10:uid="{BB4ADAED-F9E2-41C6-AFCE-CE2645DD1C32}" sourceName="plant name">
  <pivotTables>
    <pivotTable tabId="17" name="PivotTable9"/>
    <pivotTable tabId="16" name="PivotTable8"/>
    <pivotTable tabId="25" name="PivotTable1"/>
    <pivotTable tabId="25" name="PivotTable10"/>
    <pivotTable tabId="13" name="PivotTable5"/>
    <pivotTable tabId="15" name="PivotTable7"/>
    <pivotTable tabId="6" name="PivotTable1"/>
    <pivotTable tabId="7" name="PivotTable2"/>
    <pivotTable tabId="8" name="PivotTable3"/>
    <pivotTable tabId="23" name="PivotTable6"/>
    <pivotTable tabId="23" name="PivotTable7"/>
    <pivotTable tabId="21" name="PivotTable1"/>
    <pivotTable tabId="21" name="PivotTable2"/>
    <pivotTable tabId="21" name="PivotTable3"/>
    <pivotTable tabId="21" name="PivotTable4"/>
    <pivotTable tabId="21" name="PivotTable5"/>
    <pivotTable tabId="14" name="PivotTable6"/>
    <pivotTable tabId="14" name="PivotTable2"/>
  </pivotTables>
  <data>
    <tabular pivotCacheId="1232111331">
      <items count="10">
        <i x="8" s="1"/>
        <i x="5" s="1"/>
        <i x="0" s="1"/>
        <i x="3" s="1"/>
        <i x="4" s="1"/>
        <i x="2" s="1"/>
        <i x="1" s="1"/>
        <i x="7" s="1"/>
        <i x="9"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BF36D9-1054-4832-928E-37D4C5EE333B}" sourceName="category">
  <pivotTables>
    <pivotTable tabId="17" name="PivotTable9"/>
    <pivotTable tabId="16" name="PivotTable8"/>
    <pivotTable tabId="25" name="PivotTable1"/>
    <pivotTable tabId="25" name="PivotTable10"/>
    <pivotTable tabId="13" name="PivotTable5"/>
    <pivotTable tabId="15" name="PivotTable7"/>
    <pivotTable tabId="6" name="PivotTable1"/>
    <pivotTable tabId="7" name="PivotTable2"/>
    <pivotTable tabId="8" name="PivotTable3"/>
    <pivotTable tabId="23" name="PivotTable6"/>
    <pivotTable tabId="23" name="PivotTable7"/>
    <pivotTable tabId="21" name="PivotTable1"/>
    <pivotTable tabId="21" name="PivotTable2"/>
    <pivotTable tabId="21" name="PivotTable3"/>
    <pivotTable tabId="21" name="PivotTable4"/>
    <pivotTable tabId="21" name="PivotTable5"/>
    <pivotTable tabId="14" name="PivotTable6"/>
    <pivotTable tabId="14" name="PivotTable2"/>
  </pivotTables>
  <data>
    <tabular pivotCacheId="1232111331">
      <items count="5">
        <i x="1" s="1"/>
        <i x="3"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rsery_Name" xr10:uid="{15226B38-08AF-4081-8BC9-65AF34E2822E}" cache="Slicer_Nursery_Name" caption="Nursery_Name" rowHeight="209550"/>
  <slicer name="location" xr10:uid="{6FFFCA91-FF65-453D-91A1-177927400C26}" cache="Slicer_location" caption="location" rowHeight="209550"/>
  <slicer name="plant name" xr10:uid="{8D3EF0BE-7AFC-4763-8056-98F3744B5A73}" cache="Slicer_plant_name" caption="plant name" rowHeight="209550"/>
  <slicer name="category" xr10:uid="{D3C062AB-8CF5-4888-AC34-47FD743620B9}" cache="Slicer_category" caption="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rsery_Name 1" xr10:uid="{0DCA989C-FA8D-4A8F-AD0A-D7B3E36D7A77}" cache="Slicer_Nursery_Name" caption="Nursery_Name" style="Slicer Style 3" rowHeight="209550"/>
  <slicer name="location 1" xr10:uid="{95AB5C8F-138D-42C5-BE64-9E2C293CF024}" cache="Slicer_location" caption="location" style="Slicer Style 3" rowHeight="209550"/>
  <slicer name="plant name 1" xr10:uid="{38CA4E6E-0A38-449B-A28E-2D69A1089622}" cache="Slicer_plant_name" caption="plant name" style="Slicer Style 3" rowHeight="209550"/>
  <slicer name="category 1" xr10:uid="{77427BA3-BEDB-4974-960C-CFBC02C97087}" cache="Slicer_category" caption="category" style="Slicer Style 3"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I15" sqref="I15"/>
    </sheetView>
  </sheetViews>
  <sheetFormatPr defaultColWidth="12.6640625" defaultRowHeight="15.75" customHeight="1" x14ac:dyDescent="0.25"/>
  <cols>
    <col min="1" max="1" width="12.77734375" customWidth="1"/>
    <col min="2" max="2" width="12.44140625" customWidth="1"/>
    <col min="3" max="3" width="18.6640625" customWidth="1"/>
    <col min="4" max="4" width="23.44140625" customWidth="1"/>
    <col min="5" max="24" width="7.6640625" customWidth="1"/>
  </cols>
  <sheetData>
    <row r="1" spans="1:5" ht="13.2" x14ac:dyDescent="0.25">
      <c r="A1" s="2" t="s">
        <v>0</v>
      </c>
      <c r="B1" s="2" t="s">
        <v>2</v>
      </c>
      <c r="C1" s="2" t="s">
        <v>3</v>
      </c>
      <c r="D1" s="3" t="s">
        <v>37</v>
      </c>
      <c r="E1" s="2" t="s">
        <v>43</v>
      </c>
    </row>
    <row r="2" spans="1:5" ht="13.2" x14ac:dyDescent="0.25">
      <c r="A2" s="1">
        <v>2001</v>
      </c>
      <c r="B2" s="1">
        <v>1104</v>
      </c>
      <c r="C2" s="1">
        <v>194</v>
      </c>
      <c r="D2" s="1" t="s">
        <v>12</v>
      </c>
      <c r="E2" t="s">
        <v>38</v>
      </c>
    </row>
    <row r="3" spans="1:5" ht="13.2" x14ac:dyDescent="0.25">
      <c r="A3" s="1">
        <v>2002</v>
      </c>
      <c r="B3" s="1">
        <v>1422</v>
      </c>
      <c r="C3" s="1">
        <v>245</v>
      </c>
      <c r="D3" s="1" t="s">
        <v>14</v>
      </c>
      <c r="E3" t="s">
        <v>39</v>
      </c>
    </row>
    <row r="4" spans="1:5" ht="13.2" x14ac:dyDescent="0.25">
      <c r="A4" s="1">
        <v>2003</v>
      </c>
      <c r="B4" s="1">
        <v>1384</v>
      </c>
      <c r="C4" s="1">
        <v>26</v>
      </c>
      <c r="D4" s="1" t="s">
        <v>25</v>
      </c>
      <c r="E4" t="s">
        <v>40</v>
      </c>
    </row>
    <row r="5" spans="1:5" ht="13.2" x14ac:dyDescent="0.25">
      <c r="A5" s="1">
        <v>2004</v>
      </c>
      <c r="B5" s="1">
        <v>1373</v>
      </c>
      <c r="C5" s="1">
        <v>459</v>
      </c>
      <c r="D5" s="1" t="s">
        <v>25</v>
      </c>
      <c r="E5" t="s">
        <v>38</v>
      </c>
    </row>
    <row r="6" spans="1:5" ht="13.2" x14ac:dyDescent="0.25">
      <c r="A6" s="1">
        <v>2005</v>
      </c>
      <c r="B6" s="1">
        <v>1405</v>
      </c>
      <c r="C6" s="1">
        <v>91</v>
      </c>
      <c r="D6" s="1" t="s">
        <v>25</v>
      </c>
      <c r="E6" t="s">
        <v>41</v>
      </c>
    </row>
    <row r="7" spans="1:5" ht="13.2" x14ac:dyDescent="0.25">
      <c r="A7" s="1">
        <v>2006</v>
      </c>
      <c r="B7" s="1">
        <v>1427</v>
      </c>
      <c r="C7" s="1">
        <v>428</v>
      </c>
      <c r="D7" s="1" t="s">
        <v>14</v>
      </c>
      <c r="E7" t="s">
        <v>38</v>
      </c>
    </row>
    <row r="8" spans="1:5" ht="13.2" x14ac:dyDescent="0.25">
      <c r="A8" s="1">
        <v>2007</v>
      </c>
      <c r="B8" s="1">
        <v>1065</v>
      </c>
      <c r="C8" s="1">
        <v>131</v>
      </c>
      <c r="D8" s="1" t="s">
        <v>12</v>
      </c>
      <c r="E8" t="s">
        <v>38</v>
      </c>
    </row>
    <row r="9" spans="1:5" ht="13.2" x14ac:dyDescent="0.25">
      <c r="A9" s="1">
        <v>2008</v>
      </c>
      <c r="B9" s="1">
        <v>1437</v>
      </c>
      <c r="C9" s="1">
        <v>347</v>
      </c>
      <c r="D9" s="1" t="s">
        <v>9</v>
      </c>
      <c r="E9" t="s">
        <v>39</v>
      </c>
    </row>
    <row r="10" spans="1:5" ht="13.2" x14ac:dyDescent="0.25">
      <c r="A10" s="1">
        <v>2009</v>
      </c>
      <c r="B10" s="1">
        <v>1424</v>
      </c>
      <c r="C10" s="1">
        <v>423</v>
      </c>
      <c r="D10" s="1" t="s">
        <v>12</v>
      </c>
      <c r="E10" t="s">
        <v>39</v>
      </c>
    </row>
    <row r="11" spans="1:5" ht="13.2" x14ac:dyDescent="0.25">
      <c r="A11" s="1">
        <v>2010</v>
      </c>
      <c r="B11" s="1">
        <v>1473</v>
      </c>
      <c r="C11" s="1">
        <v>374</v>
      </c>
      <c r="D11" s="1" t="s">
        <v>14</v>
      </c>
      <c r="E11" t="s">
        <v>41</v>
      </c>
    </row>
    <row r="12" spans="1:5" ht="13.2" x14ac:dyDescent="0.25">
      <c r="A12" s="1">
        <v>2011</v>
      </c>
      <c r="B12" s="1">
        <v>1234</v>
      </c>
      <c r="C12" s="1">
        <v>358</v>
      </c>
      <c r="D12" s="1" t="s">
        <v>9</v>
      </c>
      <c r="E12" t="s">
        <v>39</v>
      </c>
    </row>
    <row r="13" spans="1:5" ht="13.2" x14ac:dyDescent="0.25">
      <c r="A13" s="1">
        <v>2012</v>
      </c>
      <c r="B13" s="1">
        <v>1244</v>
      </c>
      <c r="C13" s="1">
        <v>339</v>
      </c>
      <c r="D13" s="1" t="s">
        <v>25</v>
      </c>
      <c r="E13" t="s">
        <v>39</v>
      </c>
    </row>
    <row r="14" spans="1:5" ht="13.2" x14ac:dyDescent="0.25">
      <c r="A14" s="1">
        <v>2013</v>
      </c>
      <c r="B14" s="1">
        <v>1292</v>
      </c>
      <c r="C14" s="1">
        <v>261</v>
      </c>
      <c r="D14" s="1" t="s">
        <v>25</v>
      </c>
      <c r="E14" t="s">
        <v>41</v>
      </c>
    </row>
    <row r="15" spans="1:5" ht="13.2" x14ac:dyDescent="0.25">
      <c r="A15" s="1">
        <v>2014</v>
      </c>
      <c r="B15" s="1">
        <v>1045</v>
      </c>
      <c r="C15" s="1">
        <v>80</v>
      </c>
      <c r="D15" s="1" t="s">
        <v>14</v>
      </c>
      <c r="E15" t="s">
        <v>39</v>
      </c>
    </row>
    <row r="16" spans="1:5" ht="13.2" x14ac:dyDescent="0.25">
      <c r="A16" s="1">
        <v>2015</v>
      </c>
      <c r="B16" s="1">
        <v>1251</v>
      </c>
      <c r="C16" s="1">
        <v>203</v>
      </c>
      <c r="D16" s="1" t="s">
        <v>12</v>
      </c>
      <c r="E16" t="s">
        <v>38</v>
      </c>
    </row>
    <row r="17" spans="1:5" ht="13.2" x14ac:dyDescent="0.25">
      <c r="A17" s="1">
        <v>2016</v>
      </c>
      <c r="B17" s="1">
        <v>1072</v>
      </c>
      <c r="C17" s="1">
        <v>144</v>
      </c>
      <c r="D17" s="1" t="s">
        <v>14</v>
      </c>
      <c r="E17" t="s">
        <v>41</v>
      </c>
    </row>
    <row r="18" spans="1:5" ht="13.2" x14ac:dyDescent="0.25">
      <c r="A18" s="1">
        <v>2017</v>
      </c>
      <c r="B18" s="1">
        <v>1008</v>
      </c>
      <c r="C18" s="1">
        <v>465</v>
      </c>
      <c r="D18" s="1" t="s">
        <v>25</v>
      </c>
      <c r="E18" t="s">
        <v>39</v>
      </c>
    </row>
    <row r="19" spans="1:5" ht="13.2" x14ac:dyDescent="0.25">
      <c r="A19" s="1">
        <v>2018</v>
      </c>
      <c r="B19" s="1">
        <v>1041</v>
      </c>
      <c r="C19" s="1">
        <v>290</v>
      </c>
      <c r="D19" s="1" t="s">
        <v>14</v>
      </c>
      <c r="E19" t="s">
        <v>40</v>
      </c>
    </row>
    <row r="20" spans="1:5" ht="13.2" x14ac:dyDescent="0.25">
      <c r="A20" s="1">
        <v>2019</v>
      </c>
      <c r="B20" s="1">
        <v>1473</v>
      </c>
      <c r="C20" s="1">
        <v>132</v>
      </c>
      <c r="D20" s="1" t="s">
        <v>14</v>
      </c>
      <c r="E20" t="s">
        <v>42</v>
      </c>
    </row>
    <row r="21" spans="1:5" ht="13.2" x14ac:dyDescent="0.25">
      <c r="A21" s="1">
        <v>2020</v>
      </c>
      <c r="B21" s="1">
        <v>1421</v>
      </c>
      <c r="C21" s="1">
        <v>362</v>
      </c>
      <c r="D21" s="1" t="s">
        <v>7</v>
      </c>
      <c r="E21" t="s">
        <v>41</v>
      </c>
    </row>
    <row r="22" spans="1:5" ht="13.2" x14ac:dyDescent="0.25">
      <c r="A22" s="1">
        <v>2021</v>
      </c>
      <c r="B22" s="1">
        <v>1170</v>
      </c>
      <c r="C22" s="1">
        <v>202</v>
      </c>
      <c r="D22" s="1" t="s">
        <v>14</v>
      </c>
      <c r="E22" t="s">
        <v>40</v>
      </c>
    </row>
    <row r="23" spans="1:5" ht="13.2" x14ac:dyDescent="0.25">
      <c r="A23" s="1">
        <v>2022</v>
      </c>
      <c r="B23" s="1">
        <v>1492</v>
      </c>
      <c r="C23" s="1">
        <v>341</v>
      </c>
      <c r="D23" s="1" t="s">
        <v>9</v>
      </c>
      <c r="E23" t="s">
        <v>42</v>
      </c>
    </row>
    <row r="24" spans="1:5" ht="13.2" x14ac:dyDescent="0.25">
      <c r="A24" s="1">
        <v>2023</v>
      </c>
      <c r="B24" s="1">
        <v>1227</v>
      </c>
      <c r="C24" s="1">
        <v>46</v>
      </c>
      <c r="D24" s="1" t="s">
        <v>7</v>
      </c>
      <c r="E24" t="s">
        <v>38</v>
      </c>
    </row>
    <row r="25" spans="1:5" ht="13.2" x14ac:dyDescent="0.25">
      <c r="A25" s="1">
        <v>2024</v>
      </c>
      <c r="B25" s="1">
        <v>1027</v>
      </c>
      <c r="C25" s="1">
        <v>270</v>
      </c>
      <c r="D25" s="1" t="s">
        <v>9</v>
      </c>
      <c r="E25" t="s">
        <v>42</v>
      </c>
    </row>
    <row r="26" spans="1:5" ht="13.2" x14ac:dyDescent="0.25">
      <c r="A26" s="1">
        <v>2025</v>
      </c>
      <c r="B26" s="1">
        <v>1478</v>
      </c>
      <c r="C26" s="1">
        <v>454</v>
      </c>
      <c r="D26" s="1" t="s">
        <v>7</v>
      </c>
      <c r="E26" t="s">
        <v>39</v>
      </c>
    </row>
    <row r="27" spans="1:5" ht="13.2" x14ac:dyDescent="0.25">
      <c r="A27" s="1">
        <v>2026</v>
      </c>
      <c r="B27" s="1">
        <v>1215</v>
      </c>
      <c r="C27" s="1">
        <v>369</v>
      </c>
      <c r="D27" s="1" t="s">
        <v>14</v>
      </c>
      <c r="E27" t="s">
        <v>39</v>
      </c>
    </row>
    <row r="28" spans="1:5" ht="13.2" x14ac:dyDescent="0.25">
      <c r="A28" s="1">
        <v>2027</v>
      </c>
      <c r="B28" s="1">
        <v>1247</v>
      </c>
      <c r="C28" s="1">
        <v>218</v>
      </c>
      <c r="D28" s="1" t="s">
        <v>9</v>
      </c>
      <c r="E28" t="s">
        <v>39</v>
      </c>
    </row>
    <row r="29" spans="1:5" ht="13.2" x14ac:dyDescent="0.25">
      <c r="A29" s="1">
        <v>2028</v>
      </c>
      <c r="B29" s="1">
        <v>1479</v>
      </c>
      <c r="C29" s="1">
        <v>339</v>
      </c>
      <c r="D29" s="1" t="s">
        <v>9</v>
      </c>
      <c r="E29" t="s">
        <v>42</v>
      </c>
    </row>
    <row r="30" spans="1:5" ht="13.2" x14ac:dyDescent="0.25">
      <c r="A30" s="1">
        <v>2029</v>
      </c>
      <c r="B30" s="1">
        <v>1417</v>
      </c>
      <c r="C30" s="1">
        <v>232</v>
      </c>
      <c r="D30" s="1" t="s">
        <v>25</v>
      </c>
      <c r="E30" t="s">
        <v>40</v>
      </c>
    </row>
    <row r="31" spans="1:5" ht="13.2" x14ac:dyDescent="0.25">
      <c r="A31" s="1">
        <v>2030</v>
      </c>
      <c r="B31" s="1">
        <v>1028</v>
      </c>
      <c r="C31" s="1">
        <v>462</v>
      </c>
      <c r="D31" s="1" t="s">
        <v>9</v>
      </c>
      <c r="E31" t="s">
        <v>39</v>
      </c>
    </row>
    <row r="32" spans="1:5" ht="13.2" x14ac:dyDescent="0.25">
      <c r="A32" s="1">
        <v>2031</v>
      </c>
      <c r="B32" s="1">
        <v>1224</v>
      </c>
      <c r="C32" s="1">
        <v>250</v>
      </c>
      <c r="D32" s="1" t="s">
        <v>12</v>
      </c>
      <c r="E32" t="s">
        <v>40</v>
      </c>
    </row>
    <row r="33" spans="1:5" ht="13.2" x14ac:dyDescent="0.25">
      <c r="A33" s="1">
        <v>2032</v>
      </c>
      <c r="B33" s="1">
        <v>1076</v>
      </c>
      <c r="C33" s="1">
        <v>228</v>
      </c>
      <c r="D33" s="1" t="s">
        <v>12</v>
      </c>
      <c r="E33" t="s">
        <v>38</v>
      </c>
    </row>
    <row r="34" spans="1:5" ht="13.2" x14ac:dyDescent="0.25">
      <c r="A34" s="1">
        <v>2033</v>
      </c>
      <c r="B34" s="1">
        <v>1358</v>
      </c>
      <c r="C34" s="1">
        <v>189</v>
      </c>
      <c r="D34" s="1" t="s">
        <v>14</v>
      </c>
      <c r="E34" t="s">
        <v>40</v>
      </c>
    </row>
    <row r="35" spans="1:5" ht="13.2" x14ac:dyDescent="0.25">
      <c r="A35" s="1">
        <v>2034</v>
      </c>
      <c r="B35" s="1">
        <v>1185</v>
      </c>
      <c r="C35" s="1">
        <v>126</v>
      </c>
      <c r="D35" s="1" t="s">
        <v>9</v>
      </c>
      <c r="E35" t="s">
        <v>41</v>
      </c>
    </row>
    <row r="36" spans="1:5" ht="13.2" x14ac:dyDescent="0.25">
      <c r="A36" s="1">
        <v>2035</v>
      </c>
      <c r="B36" s="1">
        <v>1404</v>
      </c>
      <c r="C36" s="1">
        <v>335</v>
      </c>
      <c r="D36" s="1" t="s">
        <v>9</v>
      </c>
      <c r="E36" t="s">
        <v>39</v>
      </c>
    </row>
    <row r="37" spans="1:5" ht="13.2" x14ac:dyDescent="0.25">
      <c r="A37" s="1">
        <v>2036</v>
      </c>
      <c r="B37" s="1">
        <v>1009</v>
      </c>
      <c r="C37" s="1">
        <v>475</v>
      </c>
      <c r="D37" s="1" t="s">
        <v>25</v>
      </c>
      <c r="E37" t="s">
        <v>40</v>
      </c>
    </row>
    <row r="38" spans="1:5" ht="13.2" x14ac:dyDescent="0.25">
      <c r="A38" s="1">
        <v>2037</v>
      </c>
      <c r="B38" s="1">
        <v>1252</v>
      </c>
      <c r="C38" s="1">
        <v>498</v>
      </c>
      <c r="D38" s="1" t="s">
        <v>9</v>
      </c>
      <c r="E38" t="s">
        <v>38</v>
      </c>
    </row>
    <row r="39" spans="1:5" ht="13.2" x14ac:dyDescent="0.25">
      <c r="A39" s="1">
        <v>2038</v>
      </c>
      <c r="B39" s="1">
        <v>1366</v>
      </c>
      <c r="C39" s="1">
        <v>380</v>
      </c>
      <c r="D39" s="1" t="s">
        <v>14</v>
      </c>
      <c r="E39" t="s">
        <v>42</v>
      </c>
    </row>
    <row r="40" spans="1:5" ht="13.2" x14ac:dyDescent="0.25">
      <c r="A40" s="1">
        <v>2039</v>
      </c>
      <c r="B40" s="1">
        <v>1106</v>
      </c>
      <c r="C40" s="1">
        <v>157</v>
      </c>
      <c r="D40" s="1" t="s">
        <v>7</v>
      </c>
      <c r="E40" t="s">
        <v>38</v>
      </c>
    </row>
    <row r="41" spans="1:5" ht="13.2" x14ac:dyDescent="0.25">
      <c r="A41" s="1">
        <v>2040</v>
      </c>
      <c r="B41" s="1">
        <v>1419</v>
      </c>
      <c r="C41" s="1">
        <v>184</v>
      </c>
      <c r="D41" s="1" t="s">
        <v>25</v>
      </c>
      <c r="E41" t="s">
        <v>40</v>
      </c>
    </row>
    <row r="42" spans="1:5" ht="13.2" x14ac:dyDescent="0.25">
      <c r="A42" s="1">
        <v>2041</v>
      </c>
      <c r="B42" s="1">
        <v>1102</v>
      </c>
      <c r="C42" s="1">
        <v>314</v>
      </c>
      <c r="D42" s="1" t="s">
        <v>7</v>
      </c>
      <c r="E42" t="s">
        <v>39</v>
      </c>
    </row>
    <row r="43" spans="1:5" ht="13.2" x14ac:dyDescent="0.25">
      <c r="A43" s="1">
        <v>2042</v>
      </c>
      <c r="B43" s="1">
        <v>1466</v>
      </c>
      <c r="C43" s="1">
        <v>330</v>
      </c>
      <c r="D43" s="1" t="s">
        <v>9</v>
      </c>
      <c r="E43" t="s">
        <v>39</v>
      </c>
    </row>
    <row r="44" spans="1:5" ht="13.2" x14ac:dyDescent="0.25">
      <c r="A44" s="1">
        <v>2043</v>
      </c>
      <c r="B44" s="1">
        <v>1416</v>
      </c>
      <c r="C44" s="1">
        <v>16</v>
      </c>
      <c r="D44" s="1" t="s">
        <v>7</v>
      </c>
      <c r="E44" t="s">
        <v>42</v>
      </c>
    </row>
    <row r="45" spans="1:5" ht="13.2" x14ac:dyDescent="0.25">
      <c r="A45" s="1">
        <v>2044</v>
      </c>
      <c r="B45" s="1">
        <v>1247</v>
      </c>
      <c r="C45" s="1">
        <v>310</v>
      </c>
      <c r="D45" s="1" t="s">
        <v>14</v>
      </c>
      <c r="E45" t="s">
        <v>38</v>
      </c>
    </row>
    <row r="46" spans="1:5" ht="13.2" x14ac:dyDescent="0.25">
      <c r="A46" s="1">
        <v>2045</v>
      </c>
      <c r="B46" s="1">
        <v>1203</v>
      </c>
      <c r="C46" s="1">
        <v>87</v>
      </c>
      <c r="D46" s="1" t="s">
        <v>12</v>
      </c>
      <c r="E46" t="s">
        <v>38</v>
      </c>
    </row>
    <row r="47" spans="1:5" ht="13.2" x14ac:dyDescent="0.25">
      <c r="A47" s="1">
        <v>2046</v>
      </c>
      <c r="B47" s="1">
        <v>1170</v>
      </c>
      <c r="C47" s="1">
        <v>347</v>
      </c>
      <c r="D47" s="1" t="s">
        <v>7</v>
      </c>
      <c r="E47" t="s">
        <v>38</v>
      </c>
    </row>
    <row r="48" spans="1:5" ht="13.2" x14ac:dyDescent="0.25">
      <c r="A48" s="1">
        <v>2047</v>
      </c>
      <c r="B48" s="1">
        <v>1077</v>
      </c>
      <c r="C48" s="1">
        <v>18</v>
      </c>
      <c r="D48" s="1" t="s">
        <v>12</v>
      </c>
      <c r="E48" t="s">
        <v>38</v>
      </c>
    </row>
    <row r="49" spans="1:5" ht="13.2" x14ac:dyDescent="0.25">
      <c r="A49" s="1">
        <v>2048</v>
      </c>
      <c r="B49" s="1">
        <v>1300</v>
      </c>
      <c r="C49" s="1">
        <v>455</v>
      </c>
      <c r="D49" s="1" t="s">
        <v>14</v>
      </c>
      <c r="E49" t="s">
        <v>38</v>
      </c>
    </row>
    <row r="50" spans="1:5" ht="13.2" x14ac:dyDescent="0.25">
      <c r="A50" s="1">
        <v>2049</v>
      </c>
      <c r="B50" s="1">
        <v>1413</v>
      </c>
      <c r="C50" s="1">
        <v>217</v>
      </c>
      <c r="D50" s="1" t="s">
        <v>14</v>
      </c>
      <c r="E50" t="s">
        <v>40</v>
      </c>
    </row>
    <row r="51" spans="1:5" ht="13.2" x14ac:dyDescent="0.25">
      <c r="A51" s="1">
        <v>2050</v>
      </c>
      <c r="B51" s="1">
        <v>1484</v>
      </c>
      <c r="C51" s="1">
        <v>411</v>
      </c>
      <c r="D51" s="1" t="s">
        <v>25</v>
      </c>
      <c r="E51" t="s">
        <v>41</v>
      </c>
    </row>
    <row r="52" spans="1:5" ht="13.2" x14ac:dyDescent="0.25">
      <c r="A52" s="1">
        <v>2051</v>
      </c>
      <c r="B52" s="1">
        <v>1310</v>
      </c>
      <c r="C52" s="1">
        <v>294</v>
      </c>
      <c r="D52" s="1" t="s">
        <v>14</v>
      </c>
      <c r="E52" t="s">
        <v>38</v>
      </c>
    </row>
    <row r="53" spans="1:5" ht="13.2" x14ac:dyDescent="0.25">
      <c r="A53" s="1">
        <v>2052</v>
      </c>
      <c r="B53" s="1">
        <v>1041</v>
      </c>
      <c r="C53" s="1">
        <v>284</v>
      </c>
      <c r="D53" s="1" t="s">
        <v>14</v>
      </c>
      <c r="E53" t="s">
        <v>41</v>
      </c>
    </row>
    <row r="54" spans="1:5" ht="13.2" x14ac:dyDescent="0.25">
      <c r="A54" s="1">
        <v>2053</v>
      </c>
      <c r="B54" s="1">
        <v>1468</v>
      </c>
      <c r="C54" s="1">
        <v>201</v>
      </c>
      <c r="D54" s="1" t="s">
        <v>14</v>
      </c>
      <c r="E54" t="s">
        <v>39</v>
      </c>
    </row>
    <row r="55" spans="1:5" ht="13.2" x14ac:dyDescent="0.25">
      <c r="A55" s="1">
        <v>2054</v>
      </c>
      <c r="B55" s="1">
        <v>1485</v>
      </c>
      <c r="C55" s="1">
        <v>165</v>
      </c>
      <c r="D55" s="1" t="s">
        <v>12</v>
      </c>
      <c r="E55" t="s">
        <v>40</v>
      </c>
    </row>
    <row r="56" spans="1:5" ht="13.2" x14ac:dyDescent="0.25">
      <c r="A56" s="1">
        <v>2055</v>
      </c>
      <c r="B56" s="1">
        <v>1380</v>
      </c>
      <c r="C56" s="1">
        <v>244</v>
      </c>
      <c r="D56" s="1" t="s">
        <v>9</v>
      </c>
      <c r="E56" t="s">
        <v>40</v>
      </c>
    </row>
    <row r="57" spans="1:5" ht="13.2" x14ac:dyDescent="0.25">
      <c r="A57" s="1">
        <v>2056</v>
      </c>
      <c r="B57" s="1">
        <v>1227</v>
      </c>
      <c r="C57" s="1">
        <v>227</v>
      </c>
      <c r="D57" s="1" t="s">
        <v>12</v>
      </c>
      <c r="E57" t="s">
        <v>41</v>
      </c>
    </row>
    <row r="58" spans="1:5" ht="13.2" x14ac:dyDescent="0.25">
      <c r="A58" s="1">
        <v>2057</v>
      </c>
      <c r="B58" s="1">
        <v>1034</v>
      </c>
      <c r="C58" s="1">
        <v>133</v>
      </c>
      <c r="D58" s="1" t="s">
        <v>25</v>
      </c>
      <c r="E58" t="s">
        <v>42</v>
      </c>
    </row>
    <row r="59" spans="1:5" ht="13.2" x14ac:dyDescent="0.25">
      <c r="A59" s="1">
        <v>2058</v>
      </c>
      <c r="B59" s="1">
        <v>1325</v>
      </c>
      <c r="C59" s="1">
        <v>423</v>
      </c>
      <c r="D59" s="1" t="s">
        <v>25</v>
      </c>
      <c r="E59" t="s">
        <v>39</v>
      </c>
    </row>
    <row r="60" spans="1:5" ht="13.2" x14ac:dyDescent="0.25">
      <c r="A60" s="1">
        <v>2059</v>
      </c>
      <c r="B60" s="1">
        <v>1097</v>
      </c>
      <c r="C60" s="1">
        <v>225</v>
      </c>
      <c r="D60" s="1" t="s">
        <v>25</v>
      </c>
      <c r="E60" t="s">
        <v>42</v>
      </c>
    </row>
    <row r="61" spans="1:5" ht="13.2" x14ac:dyDescent="0.25">
      <c r="A61" s="1">
        <v>2060</v>
      </c>
      <c r="B61" s="1">
        <v>1356</v>
      </c>
      <c r="C61" s="1">
        <v>409</v>
      </c>
      <c r="D61" s="1" t="s">
        <v>25</v>
      </c>
      <c r="E61" t="s">
        <v>38</v>
      </c>
    </row>
    <row r="62" spans="1:5" ht="13.2" x14ac:dyDescent="0.25">
      <c r="A62" s="1">
        <v>2061</v>
      </c>
      <c r="B62" s="1">
        <v>1280</v>
      </c>
      <c r="C62" s="1">
        <v>337</v>
      </c>
      <c r="D62" s="1" t="s">
        <v>25</v>
      </c>
      <c r="E62" t="s">
        <v>41</v>
      </c>
    </row>
    <row r="63" spans="1:5" ht="13.2" x14ac:dyDescent="0.25">
      <c r="A63" s="1">
        <v>2062</v>
      </c>
      <c r="B63" s="1">
        <v>1362</v>
      </c>
      <c r="C63" s="1">
        <v>75</v>
      </c>
      <c r="D63" s="1" t="s">
        <v>9</v>
      </c>
      <c r="E63" t="s">
        <v>42</v>
      </c>
    </row>
    <row r="64" spans="1:5" ht="13.2" x14ac:dyDescent="0.25">
      <c r="A64" s="1">
        <v>2063</v>
      </c>
      <c r="B64" s="1">
        <v>1202</v>
      </c>
      <c r="C64" s="1">
        <v>443</v>
      </c>
      <c r="D64" s="1" t="s">
        <v>14</v>
      </c>
      <c r="E64" t="s">
        <v>41</v>
      </c>
    </row>
    <row r="65" spans="1:5" ht="13.2" x14ac:dyDescent="0.25">
      <c r="A65" s="1">
        <v>2064</v>
      </c>
      <c r="B65" s="1">
        <v>1139</v>
      </c>
      <c r="C65" s="1">
        <v>338</v>
      </c>
      <c r="D65" s="1" t="s">
        <v>7</v>
      </c>
      <c r="E65" t="s">
        <v>42</v>
      </c>
    </row>
    <row r="66" spans="1:5" ht="13.2" x14ac:dyDescent="0.25">
      <c r="A66" s="1">
        <v>2065</v>
      </c>
      <c r="B66" s="1">
        <v>1388</v>
      </c>
      <c r="C66" s="1">
        <v>137</v>
      </c>
      <c r="D66" s="1" t="s">
        <v>9</v>
      </c>
      <c r="E66" t="s">
        <v>39</v>
      </c>
    </row>
    <row r="67" spans="1:5" ht="13.2" x14ac:dyDescent="0.25">
      <c r="A67" s="1">
        <v>2066</v>
      </c>
      <c r="B67" s="1">
        <v>1350</v>
      </c>
      <c r="C67" s="1">
        <v>42</v>
      </c>
      <c r="D67" s="1" t="s">
        <v>7</v>
      </c>
      <c r="E67" t="s">
        <v>40</v>
      </c>
    </row>
    <row r="68" spans="1:5" ht="13.2" x14ac:dyDescent="0.25">
      <c r="A68" s="1">
        <v>2067</v>
      </c>
      <c r="B68" s="1">
        <v>1317</v>
      </c>
      <c r="C68" s="1">
        <v>384</v>
      </c>
      <c r="D68" s="1" t="s">
        <v>7</v>
      </c>
      <c r="E68" t="s">
        <v>38</v>
      </c>
    </row>
    <row r="69" spans="1:5" ht="13.2" x14ac:dyDescent="0.25">
      <c r="A69" s="1">
        <v>2068</v>
      </c>
      <c r="B69" s="1">
        <v>1185</v>
      </c>
      <c r="C69" s="1">
        <v>266</v>
      </c>
      <c r="D69" s="1" t="s">
        <v>14</v>
      </c>
      <c r="E69" t="s">
        <v>38</v>
      </c>
    </row>
    <row r="70" spans="1:5" ht="13.2" x14ac:dyDescent="0.25">
      <c r="A70" s="1">
        <v>2069</v>
      </c>
      <c r="B70" s="1">
        <v>1487</v>
      </c>
      <c r="C70" s="1">
        <v>98</v>
      </c>
      <c r="D70" s="1" t="s">
        <v>14</v>
      </c>
      <c r="E70" t="s">
        <v>38</v>
      </c>
    </row>
    <row r="71" spans="1:5" ht="13.2" x14ac:dyDescent="0.25">
      <c r="A71" s="1">
        <v>2070</v>
      </c>
      <c r="B71" s="1">
        <v>1492</v>
      </c>
      <c r="C71" s="1">
        <v>88</v>
      </c>
      <c r="D71" s="1" t="s">
        <v>9</v>
      </c>
      <c r="E71" t="s">
        <v>38</v>
      </c>
    </row>
    <row r="72" spans="1:5" ht="13.2" x14ac:dyDescent="0.25">
      <c r="A72" s="1">
        <v>2071</v>
      </c>
      <c r="B72" s="1">
        <v>1273</v>
      </c>
      <c r="C72" s="1">
        <v>248</v>
      </c>
      <c r="D72" s="1" t="s">
        <v>25</v>
      </c>
      <c r="E72" t="s">
        <v>38</v>
      </c>
    </row>
    <row r="73" spans="1:5" ht="13.2" x14ac:dyDescent="0.25">
      <c r="A73" s="1">
        <v>2072</v>
      </c>
      <c r="B73" s="1">
        <v>1329</v>
      </c>
      <c r="C73" s="1">
        <v>259</v>
      </c>
      <c r="D73" s="1" t="s">
        <v>12</v>
      </c>
      <c r="E73" t="s">
        <v>39</v>
      </c>
    </row>
    <row r="74" spans="1:5" ht="13.2" x14ac:dyDescent="0.25">
      <c r="A74" s="1">
        <v>2073</v>
      </c>
      <c r="B74" s="1">
        <v>1234</v>
      </c>
      <c r="C74" s="1">
        <v>206</v>
      </c>
      <c r="D74" s="1" t="s">
        <v>14</v>
      </c>
      <c r="E74" t="s">
        <v>41</v>
      </c>
    </row>
    <row r="75" spans="1:5" ht="13.2" x14ac:dyDescent="0.25">
      <c r="A75" s="1">
        <v>2074</v>
      </c>
      <c r="B75" s="1">
        <v>1297</v>
      </c>
      <c r="C75" s="1">
        <v>235</v>
      </c>
      <c r="D75" s="1" t="s">
        <v>14</v>
      </c>
      <c r="E75" t="s">
        <v>40</v>
      </c>
    </row>
    <row r="76" spans="1:5" ht="13.2" x14ac:dyDescent="0.25">
      <c r="A76" s="1">
        <v>2075</v>
      </c>
      <c r="B76" s="1">
        <v>1407</v>
      </c>
      <c r="C76" s="1">
        <v>463</v>
      </c>
      <c r="D76" s="1" t="s">
        <v>25</v>
      </c>
      <c r="E76" t="s">
        <v>39</v>
      </c>
    </row>
    <row r="77" spans="1:5" ht="13.2" x14ac:dyDescent="0.25">
      <c r="A77" s="1">
        <v>2076</v>
      </c>
      <c r="B77" s="1">
        <v>1252</v>
      </c>
      <c r="C77" s="1">
        <v>308</v>
      </c>
      <c r="D77" s="1" t="s">
        <v>14</v>
      </c>
      <c r="E77" t="s">
        <v>41</v>
      </c>
    </row>
    <row r="78" spans="1:5" ht="13.2" x14ac:dyDescent="0.25">
      <c r="A78" s="1">
        <v>2077</v>
      </c>
      <c r="B78" s="1">
        <v>1193</v>
      </c>
      <c r="C78" s="1">
        <v>399</v>
      </c>
      <c r="D78" s="1" t="s">
        <v>9</v>
      </c>
      <c r="E78" t="s">
        <v>41</v>
      </c>
    </row>
    <row r="79" spans="1:5" ht="13.2" x14ac:dyDescent="0.25">
      <c r="A79" s="1">
        <v>2078</v>
      </c>
      <c r="B79" s="1">
        <v>1192</v>
      </c>
      <c r="C79" s="1">
        <v>157</v>
      </c>
      <c r="D79" s="1" t="s">
        <v>12</v>
      </c>
      <c r="E79" t="s">
        <v>41</v>
      </c>
    </row>
    <row r="80" spans="1:5" ht="13.2" x14ac:dyDescent="0.25">
      <c r="A80" s="1">
        <v>2079</v>
      </c>
      <c r="B80" s="1">
        <v>1001</v>
      </c>
      <c r="C80" s="1">
        <v>61</v>
      </c>
      <c r="D80" s="1" t="s">
        <v>9</v>
      </c>
      <c r="E80" t="s">
        <v>42</v>
      </c>
    </row>
    <row r="81" spans="1:5" ht="13.2" x14ac:dyDescent="0.25">
      <c r="A81" s="1">
        <v>2080</v>
      </c>
      <c r="B81" s="1">
        <v>1250</v>
      </c>
      <c r="C81" s="1">
        <v>389</v>
      </c>
      <c r="D81" s="1" t="s">
        <v>9</v>
      </c>
      <c r="E81" t="s">
        <v>41</v>
      </c>
    </row>
    <row r="82" spans="1:5" ht="13.2" x14ac:dyDescent="0.25">
      <c r="A82" s="1">
        <v>2081</v>
      </c>
      <c r="B82" s="1">
        <v>1042</v>
      </c>
      <c r="C82" s="1">
        <v>426</v>
      </c>
      <c r="D82" s="1" t="s">
        <v>9</v>
      </c>
      <c r="E82" t="s">
        <v>42</v>
      </c>
    </row>
    <row r="83" spans="1:5" ht="13.2" x14ac:dyDescent="0.25">
      <c r="A83" s="1">
        <v>2082</v>
      </c>
      <c r="B83" s="1">
        <v>1314</v>
      </c>
      <c r="C83" s="1">
        <v>344</v>
      </c>
      <c r="D83" s="1" t="s">
        <v>9</v>
      </c>
      <c r="E83" t="s">
        <v>41</v>
      </c>
    </row>
    <row r="84" spans="1:5" ht="13.2" x14ac:dyDescent="0.25">
      <c r="A84" s="1">
        <v>2083</v>
      </c>
      <c r="B84" s="1">
        <v>1200</v>
      </c>
      <c r="C84" s="1">
        <v>104</v>
      </c>
      <c r="D84" s="1" t="s">
        <v>12</v>
      </c>
      <c r="E84" t="s">
        <v>39</v>
      </c>
    </row>
    <row r="85" spans="1:5" ht="13.2" x14ac:dyDescent="0.25">
      <c r="A85" s="1">
        <v>2084</v>
      </c>
      <c r="B85" s="1">
        <v>1219</v>
      </c>
      <c r="C85" s="1">
        <v>453</v>
      </c>
      <c r="D85" s="1" t="s">
        <v>14</v>
      </c>
      <c r="E85" t="s">
        <v>39</v>
      </c>
    </row>
    <row r="86" spans="1:5" ht="13.2" x14ac:dyDescent="0.25">
      <c r="A86" s="1">
        <v>2085</v>
      </c>
      <c r="B86" s="1">
        <v>1061</v>
      </c>
      <c r="C86" s="1">
        <v>17</v>
      </c>
      <c r="D86" s="1" t="s">
        <v>9</v>
      </c>
      <c r="E86" t="s">
        <v>39</v>
      </c>
    </row>
    <row r="87" spans="1:5" ht="13.2" x14ac:dyDescent="0.25">
      <c r="A87" s="1">
        <v>2086</v>
      </c>
      <c r="B87" s="1">
        <v>1229</v>
      </c>
      <c r="C87" s="1">
        <v>461</v>
      </c>
      <c r="D87" s="1" t="s">
        <v>12</v>
      </c>
      <c r="E87" t="s">
        <v>39</v>
      </c>
    </row>
    <row r="88" spans="1:5" ht="13.2" x14ac:dyDescent="0.25">
      <c r="A88" s="1">
        <v>2087</v>
      </c>
      <c r="B88" s="1">
        <v>1285</v>
      </c>
      <c r="C88" s="1">
        <v>328</v>
      </c>
      <c r="D88" s="1" t="s">
        <v>12</v>
      </c>
      <c r="E88" t="s">
        <v>40</v>
      </c>
    </row>
    <row r="89" spans="1:5" ht="13.2" x14ac:dyDescent="0.25">
      <c r="A89" s="1">
        <v>2088</v>
      </c>
      <c r="B89" s="1">
        <v>1240</v>
      </c>
      <c r="C89" s="1">
        <v>239</v>
      </c>
      <c r="D89" s="1" t="s">
        <v>7</v>
      </c>
      <c r="E89" t="s">
        <v>41</v>
      </c>
    </row>
    <row r="90" spans="1:5" ht="13.2" x14ac:dyDescent="0.25">
      <c r="A90" s="1">
        <v>2089</v>
      </c>
      <c r="B90" s="1">
        <v>1187</v>
      </c>
      <c r="C90" s="1">
        <v>262</v>
      </c>
      <c r="D90" s="1" t="s">
        <v>7</v>
      </c>
      <c r="E90" t="s">
        <v>40</v>
      </c>
    </row>
    <row r="91" spans="1:5" ht="13.2" x14ac:dyDescent="0.25">
      <c r="A91" s="1">
        <v>2090</v>
      </c>
      <c r="B91" s="1">
        <v>1411</v>
      </c>
      <c r="C91" s="1">
        <v>411</v>
      </c>
      <c r="D91" s="1" t="s">
        <v>9</v>
      </c>
      <c r="E91" t="s">
        <v>40</v>
      </c>
    </row>
    <row r="92" spans="1:5" ht="13.2" x14ac:dyDescent="0.25">
      <c r="A92" s="1">
        <v>2091</v>
      </c>
      <c r="B92" s="1">
        <v>1177</v>
      </c>
      <c r="C92" s="1">
        <v>107</v>
      </c>
      <c r="D92" s="1" t="s">
        <v>7</v>
      </c>
      <c r="E92" t="s">
        <v>39</v>
      </c>
    </row>
    <row r="93" spans="1:5" ht="13.2" x14ac:dyDescent="0.25">
      <c r="A93" s="1">
        <v>2092</v>
      </c>
      <c r="B93" s="1">
        <v>1231</v>
      </c>
      <c r="C93" s="1">
        <v>185</v>
      </c>
      <c r="D93" s="1" t="s">
        <v>25</v>
      </c>
      <c r="E93" t="s">
        <v>42</v>
      </c>
    </row>
    <row r="94" spans="1:5" ht="13.2" x14ac:dyDescent="0.25">
      <c r="A94" s="1">
        <v>2093</v>
      </c>
      <c r="B94" s="1">
        <v>1012</v>
      </c>
      <c r="C94" s="1">
        <v>75</v>
      </c>
      <c r="D94" s="1" t="s">
        <v>14</v>
      </c>
      <c r="E94" t="s">
        <v>40</v>
      </c>
    </row>
    <row r="95" spans="1:5" ht="13.2" x14ac:dyDescent="0.25">
      <c r="A95" s="1">
        <v>2094</v>
      </c>
      <c r="B95" s="1">
        <v>1499</v>
      </c>
      <c r="C95" s="1">
        <v>108</v>
      </c>
      <c r="D95" s="1" t="s">
        <v>7</v>
      </c>
      <c r="E95" t="s">
        <v>39</v>
      </c>
    </row>
    <row r="96" spans="1:5" ht="13.2" x14ac:dyDescent="0.25">
      <c r="A96" s="1">
        <v>2095</v>
      </c>
      <c r="B96" s="1">
        <v>1458</v>
      </c>
      <c r="C96" s="1">
        <v>227</v>
      </c>
      <c r="D96" s="1" t="s">
        <v>14</v>
      </c>
      <c r="E96" t="s">
        <v>39</v>
      </c>
    </row>
    <row r="97" spans="1:5" ht="13.2" x14ac:dyDescent="0.25">
      <c r="A97" s="1">
        <v>2096</v>
      </c>
      <c r="B97" s="1">
        <v>1442</v>
      </c>
      <c r="C97" s="1">
        <v>86</v>
      </c>
      <c r="D97" s="1" t="s">
        <v>14</v>
      </c>
      <c r="E97" t="s">
        <v>39</v>
      </c>
    </row>
    <row r="98" spans="1:5" ht="13.2" x14ac:dyDescent="0.25">
      <c r="A98" s="1">
        <v>2097</v>
      </c>
      <c r="B98" s="1">
        <v>1290</v>
      </c>
      <c r="C98" s="1">
        <v>356</v>
      </c>
      <c r="D98" s="1" t="s">
        <v>12</v>
      </c>
      <c r="E98" t="s">
        <v>41</v>
      </c>
    </row>
    <row r="99" spans="1:5" ht="13.2" x14ac:dyDescent="0.25">
      <c r="A99" s="1">
        <v>2098</v>
      </c>
      <c r="B99" s="1">
        <v>1184</v>
      </c>
      <c r="C99" s="1">
        <v>379</v>
      </c>
      <c r="D99" s="1" t="s">
        <v>14</v>
      </c>
      <c r="E99" t="s">
        <v>40</v>
      </c>
    </row>
    <row r="100" spans="1:5" ht="13.2" x14ac:dyDescent="0.25">
      <c r="A100" s="1">
        <v>2099</v>
      </c>
      <c r="B100" s="1">
        <v>1108</v>
      </c>
      <c r="C100" s="1">
        <v>165</v>
      </c>
      <c r="D100" s="1" t="s">
        <v>7</v>
      </c>
      <c r="E100" t="s">
        <v>41</v>
      </c>
    </row>
    <row r="101" spans="1:5" ht="13.2" x14ac:dyDescent="0.25">
      <c r="A101" s="1">
        <v>2100</v>
      </c>
      <c r="B101" s="1">
        <v>1435</v>
      </c>
      <c r="C101" s="1">
        <v>253</v>
      </c>
      <c r="D101" s="1" t="s">
        <v>14</v>
      </c>
      <c r="E101" t="s">
        <v>41</v>
      </c>
    </row>
    <row r="102" spans="1:5" ht="13.2" x14ac:dyDescent="0.25">
      <c r="A102" s="1">
        <v>2101</v>
      </c>
      <c r="B102" s="1">
        <v>1205</v>
      </c>
      <c r="C102" s="1">
        <v>434</v>
      </c>
      <c r="D102" s="1" t="s">
        <v>14</v>
      </c>
      <c r="E102" t="s">
        <v>40</v>
      </c>
    </row>
    <row r="103" spans="1:5" ht="13.2" x14ac:dyDescent="0.25">
      <c r="A103" s="1">
        <v>2102</v>
      </c>
      <c r="B103" s="1">
        <v>1306</v>
      </c>
      <c r="C103" s="1">
        <v>412</v>
      </c>
      <c r="D103" s="1" t="s">
        <v>12</v>
      </c>
      <c r="E103" t="s">
        <v>40</v>
      </c>
    </row>
    <row r="104" spans="1:5" ht="13.2" x14ac:dyDescent="0.25">
      <c r="A104" s="1">
        <v>2103</v>
      </c>
      <c r="B104" s="1">
        <v>1346</v>
      </c>
      <c r="C104" s="1">
        <v>156</v>
      </c>
      <c r="D104" s="1" t="s">
        <v>7</v>
      </c>
      <c r="E104" t="s">
        <v>39</v>
      </c>
    </row>
    <row r="105" spans="1:5" ht="13.2" x14ac:dyDescent="0.25">
      <c r="A105" s="1">
        <v>2104</v>
      </c>
      <c r="B105" s="1">
        <v>1078</v>
      </c>
      <c r="C105" s="1">
        <v>423</v>
      </c>
      <c r="D105" s="1" t="s">
        <v>14</v>
      </c>
      <c r="E105" t="s">
        <v>42</v>
      </c>
    </row>
    <row r="106" spans="1:5" ht="13.2" x14ac:dyDescent="0.25">
      <c r="A106" s="1">
        <v>2105</v>
      </c>
      <c r="B106" s="1">
        <v>1239</v>
      </c>
      <c r="C106" s="1">
        <v>26</v>
      </c>
      <c r="D106" s="1" t="s">
        <v>25</v>
      </c>
      <c r="E106" t="s">
        <v>41</v>
      </c>
    </row>
    <row r="107" spans="1:5" ht="13.2" x14ac:dyDescent="0.25">
      <c r="A107" s="1">
        <v>2106</v>
      </c>
      <c r="B107" s="1">
        <v>1332</v>
      </c>
      <c r="C107" s="1">
        <v>377</v>
      </c>
      <c r="D107" s="1" t="s">
        <v>25</v>
      </c>
      <c r="E107" t="s">
        <v>40</v>
      </c>
    </row>
    <row r="108" spans="1:5" ht="13.2" x14ac:dyDescent="0.25">
      <c r="A108" s="1">
        <v>2107</v>
      </c>
      <c r="B108" s="1">
        <v>1433</v>
      </c>
      <c r="C108" s="1">
        <v>247</v>
      </c>
      <c r="D108" s="1" t="s">
        <v>9</v>
      </c>
      <c r="E108" t="s">
        <v>40</v>
      </c>
    </row>
    <row r="109" spans="1:5" ht="13.2" x14ac:dyDescent="0.25">
      <c r="A109" s="1">
        <v>2108</v>
      </c>
      <c r="B109" s="1">
        <v>1033</v>
      </c>
      <c r="C109" s="1">
        <v>371</v>
      </c>
      <c r="D109" s="1" t="s">
        <v>14</v>
      </c>
      <c r="E109" t="s">
        <v>38</v>
      </c>
    </row>
    <row r="110" spans="1:5" ht="13.2" x14ac:dyDescent="0.25">
      <c r="A110" s="1">
        <v>2109</v>
      </c>
      <c r="B110" s="1">
        <v>1105</v>
      </c>
      <c r="C110" s="1">
        <v>231</v>
      </c>
      <c r="D110" s="1" t="s">
        <v>9</v>
      </c>
      <c r="E110" t="s">
        <v>39</v>
      </c>
    </row>
    <row r="111" spans="1:5" ht="13.2" x14ac:dyDescent="0.25">
      <c r="A111" s="1">
        <v>2110</v>
      </c>
      <c r="B111" s="1">
        <v>1360</v>
      </c>
      <c r="C111" s="1">
        <v>285</v>
      </c>
      <c r="D111" s="1" t="s">
        <v>12</v>
      </c>
      <c r="E111" t="s">
        <v>39</v>
      </c>
    </row>
    <row r="112" spans="1:5" ht="13.2" x14ac:dyDescent="0.25">
      <c r="A112" s="1">
        <v>2111</v>
      </c>
      <c r="B112" s="1">
        <v>1328</v>
      </c>
      <c r="C112" s="1">
        <v>208</v>
      </c>
      <c r="D112" s="1" t="s">
        <v>9</v>
      </c>
      <c r="E112" t="s">
        <v>42</v>
      </c>
    </row>
    <row r="113" spans="1:5" ht="13.2" x14ac:dyDescent="0.25">
      <c r="A113" s="1">
        <v>2112</v>
      </c>
      <c r="B113" s="1">
        <v>1453</v>
      </c>
      <c r="C113" s="1">
        <v>211</v>
      </c>
      <c r="D113" s="1" t="s">
        <v>9</v>
      </c>
      <c r="E113" t="s">
        <v>42</v>
      </c>
    </row>
    <row r="114" spans="1:5" ht="13.2" x14ac:dyDescent="0.25">
      <c r="A114" s="1">
        <v>2113</v>
      </c>
      <c r="B114" s="1">
        <v>1308</v>
      </c>
      <c r="C114" s="1">
        <v>279</v>
      </c>
      <c r="D114" s="1" t="s">
        <v>9</v>
      </c>
      <c r="E114" t="s">
        <v>41</v>
      </c>
    </row>
    <row r="115" spans="1:5" ht="13.2" x14ac:dyDescent="0.25">
      <c r="A115" s="1">
        <v>2114</v>
      </c>
      <c r="B115" s="1">
        <v>1310</v>
      </c>
      <c r="C115" s="1">
        <v>273</v>
      </c>
      <c r="D115" s="1" t="s">
        <v>14</v>
      </c>
      <c r="E115" t="s">
        <v>40</v>
      </c>
    </row>
    <row r="116" spans="1:5" ht="13.2" x14ac:dyDescent="0.25">
      <c r="A116" s="1">
        <v>2115</v>
      </c>
      <c r="B116" s="1">
        <v>1368</v>
      </c>
      <c r="C116" s="1">
        <v>412</v>
      </c>
      <c r="D116" s="1" t="s">
        <v>9</v>
      </c>
      <c r="E116" t="s">
        <v>41</v>
      </c>
    </row>
    <row r="117" spans="1:5" ht="13.2" x14ac:dyDescent="0.25">
      <c r="A117" s="1">
        <v>2116</v>
      </c>
      <c r="B117" s="1">
        <v>1388</v>
      </c>
      <c r="C117" s="1">
        <v>431</v>
      </c>
      <c r="D117" s="1" t="s">
        <v>25</v>
      </c>
      <c r="E117" t="s">
        <v>42</v>
      </c>
    </row>
    <row r="118" spans="1:5" ht="13.2" x14ac:dyDescent="0.25">
      <c r="A118" s="1">
        <v>2117</v>
      </c>
      <c r="B118" s="1">
        <v>1252</v>
      </c>
      <c r="C118" s="1">
        <v>164</v>
      </c>
      <c r="D118" s="1" t="s">
        <v>25</v>
      </c>
      <c r="E118" t="s">
        <v>41</v>
      </c>
    </row>
    <row r="119" spans="1:5" ht="13.2" x14ac:dyDescent="0.25">
      <c r="A119" s="1">
        <v>2118</v>
      </c>
      <c r="B119" s="1">
        <v>1446</v>
      </c>
      <c r="C119" s="1">
        <v>222</v>
      </c>
      <c r="D119" s="1" t="s">
        <v>12</v>
      </c>
      <c r="E119" t="s">
        <v>39</v>
      </c>
    </row>
    <row r="120" spans="1:5" ht="13.2" x14ac:dyDescent="0.25">
      <c r="A120" s="1">
        <v>2119</v>
      </c>
      <c r="B120" s="1">
        <v>1014</v>
      </c>
      <c r="C120" s="1">
        <v>33</v>
      </c>
      <c r="D120" s="1" t="s">
        <v>7</v>
      </c>
      <c r="E120" t="s">
        <v>42</v>
      </c>
    </row>
    <row r="121" spans="1:5" ht="13.2" x14ac:dyDescent="0.25">
      <c r="A121" s="1">
        <v>2120</v>
      </c>
      <c r="B121" s="1">
        <v>1461</v>
      </c>
      <c r="C121" s="1">
        <v>45</v>
      </c>
      <c r="D121" s="1" t="s">
        <v>25</v>
      </c>
      <c r="E121" t="s">
        <v>39</v>
      </c>
    </row>
    <row r="122" spans="1:5" ht="13.2" x14ac:dyDescent="0.25">
      <c r="A122" s="1">
        <v>2121</v>
      </c>
      <c r="B122" s="1">
        <v>1158</v>
      </c>
      <c r="C122" s="1">
        <v>500</v>
      </c>
      <c r="D122" s="1" t="s">
        <v>7</v>
      </c>
      <c r="E122" t="s">
        <v>39</v>
      </c>
    </row>
    <row r="123" spans="1:5" ht="13.2" x14ac:dyDescent="0.25">
      <c r="A123" s="1">
        <v>2122</v>
      </c>
      <c r="B123" s="1">
        <v>1398</v>
      </c>
      <c r="C123" s="1">
        <v>281</v>
      </c>
      <c r="D123" s="1" t="s">
        <v>14</v>
      </c>
      <c r="E123" t="s">
        <v>41</v>
      </c>
    </row>
    <row r="124" spans="1:5" ht="13.2" x14ac:dyDescent="0.25">
      <c r="A124" s="1">
        <v>2123</v>
      </c>
      <c r="B124" s="1">
        <v>1256</v>
      </c>
      <c r="C124" s="1">
        <v>290</v>
      </c>
      <c r="D124" s="1" t="s">
        <v>7</v>
      </c>
      <c r="E124" t="s">
        <v>38</v>
      </c>
    </row>
    <row r="125" spans="1:5" ht="13.2" x14ac:dyDescent="0.25">
      <c r="A125" s="1">
        <v>2124</v>
      </c>
      <c r="B125" s="1">
        <v>1088</v>
      </c>
      <c r="C125" s="1">
        <v>88</v>
      </c>
      <c r="D125" s="1" t="s">
        <v>9</v>
      </c>
      <c r="E125" t="s">
        <v>38</v>
      </c>
    </row>
    <row r="126" spans="1:5" ht="13.2" x14ac:dyDescent="0.25">
      <c r="A126" s="1">
        <v>2125</v>
      </c>
      <c r="B126" s="1">
        <v>1067</v>
      </c>
      <c r="C126" s="1">
        <v>350</v>
      </c>
      <c r="D126" s="1" t="s">
        <v>12</v>
      </c>
      <c r="E126" t="s">
        <v>40</v>
      </c>
    </row>
    <row r="127" spans="1:5" ht="13.2" x14ac:dyDescent="0.25">
      <c r="A127" s="1">
        <v>2126</v>
      </c>
      <c r="B127" s="1">
        <v>1349</v>
      </c>
      <c r="C127" s="1">
        <v>223</v>
      </c>
      <c r="D127" s="1" t="s">
        <v>12</v>
      </c>
      <c r="E127" t="s">
        <v>42</v>
      </c>
    </row>
    <row r="128" spans="1:5" ht="13.2" x14ac:dyDescent="0.25">
      <c r="A128" s="1">
        <v>2127</v>
      </c>
      <c r="B128" s="1">
        <v>1015</v>
      </c>
      <c r="C128" s="1">
        <v>215</v>
      </c>
      <c r="D128" s="1" t="s">
        <v>12</v>
      </c>
      <c r="E128" t="s">
        <v>42</v>
      </c>
    </row>
    <row r="129" spans="1:5" ht="13.2" x14ac:dyDescent="0.25">
      <c r="A129" s="1">
        <v>2128</v>
      </c>
      <c r="B129" s="1">
        <v>1092</v>
      </c>
      <c r="C129" s="1">
        <v>72</v>
      </c>
      <c r="D129" s="1" t="s">
        <v>12</v>
      </c>
      <c r="E129" t="s">
        <v>42</v>
      </c>
    </row>
    <row r="130" spans="1:5" ht="13.2" x14ac:dyDescent="0.25">
      <c r="A130" s="1">
        <v>2129</v>
      </c>
      <c r="B130" s="1">
        <v>1243</v>
      </c>
      <c r="C130" s="1">
        <v>219</v>
      </c>
      <c r="D130" s="1" t="s">
        <v>12</v>
      </c>
      <c r="E130" t="s">
        <v>41</v>
      </c>
    </row>
    <row r="131" spans="1:5" ht="13.2" x14ac:dyDescent="0.25">
      <c r="A131" s="1">
        <v>2130</v>
      </c>
      <c r="B131" s="1">
        <v>1112</v>
      </c>
      <c r="C131" s="1">
        <v>261</v>
      </c>
      <c r="D131" s="1" t="s">
        <v>12</v>
      </c>
      <c r="E131" t="s">
        <v>39</v>
      </c>
    </row>
    <row r="132" spans="1:5" ht="13.2" x14ac:dyDescent="0.25">
      <c r="A132" s="1">
        <v>2131</v>
      </c>
      <c r="B132" s="1">
        <v>1257</v>
      </c>
      <c r="C132" s="1">
        <v>187</v>
      </c>
      <c r="D132" s="1" t="s">
        <v>12</v>
      </c>
      <c r="E132" t="s">
        <v>39</v>
      </c>
    </row>
    <row r="133" spans="1:5" ht="13.2" x14ac:dyDescent="0.25">
      <c r="A133" s="1">
        <v>2132</v>
      </c>
      <c r="B133" s="1">
        <v>1101</v>
      </c>
      <c r="C133" s="1">
        <v>362</v>
      </c>
      <c r="D133" s="1" t="s">
        <v>9</v>
      </c>
      <c r="E133" t="s">
        <v>40</v>
      </c>
    </row>
    <row r="134" spans="1:5" ht="13.2" x14ac:dyDescent="0.25">
      <c r="A134" s="1">
        <v>2133</v>
      </c>
      <c r="B134" s="1">
        <v>1124</v>
      </c>
      <c r="C134" s="1">
        <v>447</v>
      </c>
      <c r="D134" s="1" t="s">
        <v>12</v>
      </c>
      <c r="E134" t="s">
        <v>38</v>
      </c>
    </row>
    <row r="135" spans="1:5" ht="13.2" x14ac:dyDescent="0.25">
      <c r="A135" s="1">
        <v>2134</v>
      </c>
      <c r="B135" s="1">
        <v>1405</v>
      </c>
      <c r="C135" s="1">
        <v>54</v>
      </c>
      <c r="D135" s="1" t="s">
        <v>14</v>
      </c>
      <c r="E135" t="s">
        <v>40</v>
      </c>
    </row>
    <row r="136" spans="1:5" ht="13.2" x14ac:dyDescent="0.25">
      <c r="A136" s="1">
        <v>2135</v>
      </c>
      <c r="B136" s="1">
        <v>1182</v>
      </c>
      <c r="C136" s="1">
        <v>460</v>
      </c>
      <c r="D136" s="1" t="s">
        <v>12</v>
      </c>
      <c r="E136" t="s">
        <v>41</v>
      </c>
    </row>
    <row r="137" spans="1:5" ht="13.2" x14ac:dyDescent="0.25">
      <c r="A137" s="1">
        <v>2136</v>
      </c>
      <c r="B137" s="1">
        <v>1285</v>
      </c>
      <c r="C137" s="1">
        <v>79</v>
      </c>
      <c r="D137" s="1" t="s">
        <v>25</v>
      </c>
      <c r="E137" t="s">
        <v>39</v>
      </c>
    </row>
    <row r="138" spans="1:5" ht="13.2" x14ac:dyDescent="0.25">
      <c r="A138" s="1">
        <v>2137</v>
      </c>
      <c r="B138" s="1">
        <v>1107</v>
      </c>
      <c r="C138" s="1">
        <v>284</v>
      </c>
      <c r="D138" s="1" t="s">
        <v>9</v>
      </c>
      <c r="E138" t="s">
        <v>39</v>
      </c>
    </row>
    <row r="139" spans="1:5" ht="13.2" x14ac:dyDescent="0.25">
      <c r="A139" s="1">
        <v>2138</v>
      </c>
      <c r="B139" s="1">
        <v>1057</v>
      </c>
      <c r="C139" s="1">
        <v>342</v>
      </c>
      <c r="D139" s="1" t="s">
        <v>12</v>
      </c>
      <c r="E139" t="s">
        <v>42</v>
      </c>
    </row>
    <row r="140" spans="1:5" ht="13.2" x14ac:dyDescent="0.25">
      <c r="A140" s="1">
        <v>2139</v>
      </c>
      <c r="B140" s="1">
        <v>1148</v>
      </c>
      <c r="C140" s="1">
        <v>188</v>
      </c>
      <c r="D140" s="1" t="s">
        <v>14</v>
      </c>
      <c r="E140" t="s">
        <v>41</v>
      </c>
    </row>
    <row r="141" spans="1:5" ht="13.2" x14ac:dyDescent="0.25">
      <c r="A141" s="1">
        <v>2140</v>
      </c>
      <c r="B141" s="1">
        <v>1233</v>
      </c>
      <c r="C141" s="1">
        <v>27</v>
      </c>
      <c r="D141" s="1" t="s">
        <v>9</v>
      </c>
      <c r="E141" t="s">
        <v>40</v>
      </c>
    </row>
    <row r="142" spans="1:5" ht="13.2" x14ac:dyDescent="0.25">
      <c r="A142" s="1">
        <v>2141</v>
      </c>
      <c r="B142" s="1">
        <v>1182</v>
      </c>
      <c r="C142" s="1">
        <v>38</v>
      </c>
      <c r="D142" s="1" t="s">
        <v>25</v>
      </c>
      <c r="E142" t="s">
        <v>39</v>
      </c>
    </row>
    <row r="143" spans="1:5" ht="13.2" x14ac:dyDescent="0.25">
      <c r="A143" s="1">
        <v>2142</v>
      </c>
      <c r="B143" s="1">
        <v>1067</v>
      </c>
      <c r="C143" s="1">
        <v>105</v>
      </c>
      <c r="D143" s="1" t="s">
        <v>12</v>
      </c>
      <c r="E143" t="s">
        <v>41</v>
      </c>
    </row>
    <row r="144" spans="1:5" ht="13.2" x14ac:dyDescent="0.25">
      <c r="A144" s="1">
        <v>2143</v>
      </c>
      <c r="B144" s="1">
        <v>1454</v>
      </c>
      <c r="C144" s="1">
        <v>262</v>
      </c>
      <c r="D144" s="1" t="s">
        <v>25</v>
      </c>
      <c r="E144" t="s">
        <v>39</v>
      </c>
    </row>
    <row r="145" spans="1:5" ht="13.2" x14ac:dyDescent="0.25">
      <c r="A145" s="1">
        <v>2144</v>
      </c>
      <c r="B145" s="1">
        <v>1440</v>
      </c>
      <c r="C145" s="1">
        <v>412</v>
      </c>
      <c r="D145" s="1" t="s">
        <v>9</v>
      </c>
      <c r="E145" t="s">
        <v>39</v>
      </c>
    </row>
    <row r="146" spans="1:5" ht="13.2" x14ac:dyDescent="0.25">
      <c r="A146" s="1">
        <v>2145</v>
      </c>
      <c r="B146" s="1">
        <v>1420</v>
      </c>
      <c r="C146" s="1">
        <v>147</v>
      </c>
      <c r="D146" s="1" t="s">
        <v>7</v>
      </c>
      <c r="E146" t="s">
        <v>41</v>
      </c>
    </row>
    <row r="147" spans="1:5" ht="13.2" x14ac:dyDescent="0.25">
      <c r="A147" s="1">
        <v>2146</v>
      </c>
      <c r="B147" s="1">
        <v>1378</v>
      </c>
      <c r="C147" s="1">
        <v>50</v>
      </c>
      <c r="D147" s="1" t="s">
        <v>9</v>
      </c>
      <c r="E147" t="s">
        <v>40</v>
      </c>
    </row>
    <row r="148" spans="1:5" ht="13.2" x14ac:dyDescent="0.25">
      <c r="A148" s="1">
        <v>2147</v>
      </c>
      <c r="B148" s="1">
        <v>1220</v>
      </c>
      <c r="C148" s="1">
        <v>66</v>
      </c>
      <c r="D148" s="1" t="s">
        <v>12</v>
      </c>
      <c r="E148" t="s">
        <v>41</v>
      </c>
    </row>
    <row r="149" spans="1:5" ht="13.2" x14ac:dyDescent="0.25">
      <c r="A149" s="1">
        <v>2148</v>
      </c>
      <c r="B149" s="1">
        <v>1181</v>
      </c>
      <c r="C149" s="1">
        <v>167</v>
      </c>
      <c r="D149" s="1" t="s">
        <v>7</v>
      </c>
      <c r="E149" t="s">
        <v>40</v>
      </c>
    </row>
    <row r="150" spans="1:5" ht="13.2" x14ac:dyDescent="0.25">
      <c r="A150" s="1">
        <v>2149</v>
      </c>
      <c r="B150" s="1">
        <v>1132</v>
      </c>
      <c r="C150" s="1">
        <v>295</v>
      </c>
      <c r="D150" s="1" t="s">
        <v>9</v>
      </c>
      <c r="E150" t="s">
        <v>40</v>
      </c>
    </row>
    <row r="151" spans="1:5" ht="13.2" x14ac:dyDescent="0.25">
      <c r="A151" s="1">
        <v>2150</v>
      </c>
      <c r="B151" s="1">
        <v>1108</v>
      </c>
      <c r="C151" s="1">
        <v>207</v>
      </c>
      <c r="D151" s="1" t="s">
        <v>12</v>
      </c>
      <c r="E151" t="s">
        <v>40</v>
      </c>
    </row>
    <row r="152" spans="1:5" ht="13.2" x14ac:dyDescent="0.25">
      <c r="A152" s="1">
        <v>2151</v>
      </c>
      <c r="B152" s="1">
        <v>1093</v>
      </c>
      <c r="C152" s="1">
        <v>461</v>
      </c>
      <c r="D152" s="1" t="s">
        <v>12</v>
      </c>
      <c r="E152" t="s">
        <v>41</v>
      </c>
    </row>
    <row r="153" spans="1:5" ht="13.2" x14ac:dyDescent="0.25">
      <c r="A153" s="1">
        <v>2152</v>
      </c>
      <c r="B153" s="1">
        <v>1477</v>
      </c>
      <c r="C153" s="1">
        <v>398</v>
      </c>
      <c r="D153" s="1" t="s">
        <v>25</v>
      </c>
      <c r="E153" t="s">
        <v>38</v>
      </c>
    </row>
    <row r="154" spans="1:5" ht="13.2" x14ac:dyDescent="0.25">
      <c r="A154" s="1">
        <v>2153</v>
      </c>
      <c r="B154" s="1">
        <v>1386</v>
      </c>
      <c r="C154" s="1">
        <v>461</v>
      </c>
      <c r="D154" s="1" t="s">
        <v>12</v>
      </c>
      <c r="E154" t="s">
        <v>39</v>
      </c>
    </row>
    <row r="155" spans="1:5" ht="13.2" x14ac:dyDescent="0.25">
      <c r="A155" s="1">
        <v>2154</v>
      </c>
      <c r="B155" s="1">
        <v>1362</v>
      </c>
      <c r="C155" s="1">
        <v>275</v>
      </c>
      <c r="D155" s="1" t="s">
        <v>14</v>
      </c>
      <c r="E155" t="s">
        <v>42</v>
      </c>
    </row>
    <row r="156" spans="1:5" ht="13.2" x14ac:dyDescent="0.25">
      <c r="A156" s="1">
        <v>2155</v>
      </c>
      <c r="B156" s="1">
        <v>1365</v>
      </c>
      <c r="C156" s="1">
        <v>261</v>
      </c>
      <c r="D156" s="1" t="s">
        <v>9</v>
      </c>
      <c r="E156" t="s">
        <v>42</v>
      </c>
    </row>
    <row r="157" spans="1:5" ht="13.2" x14ac:dyDescent="0.25">
      <c r="A157" s="1">
        <v>2156</v>
      </c>
      <c r="B157" s="1">
        <v>1054</v>
      </c>
      <c r="C157" s="1">
        <v>183</v>
      </c>
      <c r="D157" s="1" t="s">
        <v>12</v>
      </c>
      <c r="E157" t="s">
        <v>41</v>
      </c>
    </row>
    <row r="158" spans="1:5" ht="13.2" x14ac:dyDescent="0.25">
      <c r="A158" s="1">
        <v>2157</v>
      </c>
      <c r="B158" s="1">
        <v>1280</v>
      </c>
      <c r="C158" s="1">
        <v>444</v>
      </c>
      <c r="D158" s="1" t="s">
        <v>7</v>
      </c>
      <c r="E158" t="s">
        <v>39</v>
      </c>
    </row>
    <row r="159" spans="1:5" ht="13.2" x14ac:dyDescent="0.25">
      <c r="A159" s="1">
        <v>2158</v>
      </c>
      <c r="B159" s="1">
        <v>1284</v>
      </c>
      <c r="C159" s="1">
        <v>449</v>
      </c>
      <c r="D159" s="1" t="s">
        <v>9</v>
      </c>
      <c r="E159" t="s">
        <v>39</v>
      </c>
    </row>
    <row r="160" spans="1:5" ht="13.2" x14ac:dyDescent="0.25">
      <c r="A160" s="1">
        <v>2159</v>
      </c>
      <c r="B160" s="1">
        <v>1271</v>
      </c>
      <c r="C160" s="1">
        <v>236</v>
      </c>
      <c r="D160" s="1" t="s">
        <v>7</v>
      </c>
      <c r="E160" t="s">
        <v>41</v>
      </c>
    </row>
    <row r="161" spans="1:5" ht="13.2" x14ac:dyDescent="0.25">
      <c r="A161" s="1">
        <v>2160</v>
      </c>
      <c r="B161" s="1">
        <v>1014</v>
      </c>
      <c r="C161" s="1">
        <v>335</v>
      </c>
      <c r="D161" s="1" t="s">
        <v>25</v>
      </c>
      <c r="E161" t="s">
        <v>39</v>
      </c>
    </row>
    <row r="162" spans="1:5" ht="13.2" x14ac:dyDescent="0.25">
      <c r="A162" s="1">
        <v>2161</v>
      </c>
      <c r="B162" s="1">
        <v>1178</v>
      </c>
      <c r="C162" s="1">
        <v>263</v>
      </c>
      <c r="D162" s="1" t="s">
        <v>25</v>
      </c>
      <c r="E162" t="s">
        <v>39</v>
      </c>
    </row>
    <row r="163" spans="1:5" ht="13.2" x14ac:dyDescent="0.25">
      <c r="A163" s="1">
        <v>2162</v>
      </c>
      <c r="B163" s="1">
        <v>1018</v>
      </c>
      <c r="C163" s="1">
        <v>59</v>
      </c>
      <c r="D163" s="1" t="s">
        <v>14</v>
      </c>
      <c r="E163" t="s">
        <v>39</v>
      </c>
    </row>
    <row r="164" spans="1:5" ht="13.2" x14ac:dyDescent="0.25">
      <c r="A164" s="1">
        <v>2163</v>
      </c>
      <c r="B164" s="1">
        <v>1035</v>
      </c>
      <c r="C164" s="1">
        <v>42</v>
      </c>
      <c r="D164" s="1" t="s">
        <v>7</v>
      </c>
      <c r="E164" t="s">
        <v>41</v>
      </c>
    </row>
    <row r="165" spans="1:5" ht="13.2" x14ac:dyDescent="0.25">
      <c r="A165" s="1">
        <v>2164</v>
      </c>
      <c r="B165" s="1">
        <v>1054</v>
      </c>
      <c r="C165" s="1">
        <v>43</v>
      </c>
      <c r="D165" s="1" t="s">
        <v>7</v>
      </c>
      <c r="E165" t="s">
        <v>40</v>
      </c>
    </row>
    <row r="166" spans="1:5" ht="13.2" x14ac:dyDescent="0.25">
      <c r="A166" s="1">
        <v>2165</v>
      </c>
      <c r="B166" s="1">
        <v>1204</v>
      </c>
      <c r="C166" s="1">
        <v>28</v>
      </c>
      <c r="D166" s="1" t="s">
        <v>14</v>
      </c>
      <c r="E166" t="s">
        <v>39</v>
      </c>
    </row>
    <row r="167" spans="1:5" ht="13.2" x14ac:dyDescent="0.25">
      <c r="A167" s="1">
        <v>2166</v>
      </c>
      <c r="B167" s="1">
        <v>1414</v>
      </c>
      <c r="C167" s="1">
        <v>259</v>
      </c>
      <c r="D167" s="1" t="s">
        <v>14</v>
      </c>
      <c r="E167" t="s">
        <v>38</v>
      </c>
    </row>
    <row r="168" spans="1:5" ht="13.2" x14ac:dyDescent="0.25">
      <c r="A168" s="1">
        <v>2167</v>
      </c>
      <c r="B168" s="1">
        <v>1248</v>
      </c>
      <c r="C168" s="1">
        <v>179</v>
      </c>
      <c r="D168" s="1" t="s">
        <v>12</v>
      </c>
      <c r="E168" t="s">
        <v>40</v>
      </c>
    </row>
    <row r="169" spans="1:5" ht="13.2" x14ac:dyDescent="0.25">
      <c r="A169" s="1">
        <v>2168</v>
      </c>
      <c r="B169" s="1">
        <v>1255</v>
      </c>
      <c r="C169" s="1">
        <v>178</v>
      </c>
      <c r="D169" s="1" t="s">
        <v>25</v>
      </c>
      <c r="E169" t="s">
        <v>41</v>
      </c>
    </row>
    <row r="170" spans="1:5" ht="13.2" x14ac:dyDescent="0.25">
      <c r="A170" s="1">
        <v>2169</v>
      </c>
      <c r="B170" s="1">
        <v>1494</v>
      </c>
      <c r="C170" s="1">
        <v>360</v>
      </c>
      <c r="D170" s="1" t="s">
        <v>7</v>
      </c>
      <c r="E170" t="s">
        <v>42</v>
      </c>
    </row>
    <row r="171" spans="1:5" ht="13.2" x14ac:dyDescent="0.25">
      <c r="A171" s="1">
        <v>2170</v>
      </c>
      <c r="B171" s="1">
        <v>1424</v>
      </c>
      <c r="C171" s="1">
        <v>83</v>
      </c>
      <c r="D171" s="1" t="s">
        <v>7</v>
      </c>
      <c r="E171" t="s">
        <v>39</v>
      </c>
    </row>
    <row r="172" spans="1:5" ht="13.2" x14ac:dyDescent="0.25">
      <c r="A172" s="1">
        <v>2171</v>
      </c>
      <c r="B172" s="1">
        <v>1094</v>
      </c>
      <c r="C172" s="1">
        <v>222</v>
      </c>
      <c r="D172" s="1" t="s">
        <v>14</v>
      </c>
      <c r="E172" t="s">
        <v>38</v>
      </c>
    </row>
    <row r="173" spans="1:5" ht="13.2" x14ac:dyDescent="0.25">
      <c r="A173" s="1">
        <v>2172</v>
      </c>
      <c r="B173" s="1">
        <v>1397</v>
      </c>
      <c r="C173" s="1">
        <v>38</v>
      </c>
      <c r="D173" s="1" t="s">
        <v>14</v>
      </c>
      <c r="E173" t="s">
        <v>42</v>
      </c>
    </row>
    <row r="174" spans="1:5" ht="13.2" x14ac:dyDescent="0.25">
      <c r="A174" s="1">
        <v>2173</v>
      </c>
      <c r="B174" s="1">
        <v>1336</v>
      </c>
      <c r="C174" s="1">
        <v>351</v>
      </c>
      <c r="D174" s="1" t="s">
        <v>12</v>
      </c>
      <c r="E174" t="s">
        <v>39</v>
      </c>
    </row>
    <row r="175" spans="1:5" ht="13.2" x14ac:dyDescent="0.25">
      <c r="A175" s="1">
        <v>2174</v>
      </c>
      <c r="B175" s="1">
        <v>1064</v>
      </c>
      <c r="C175" s="1">
        <v>478</v>
      </c>
      <c r="D175" s="1" t="s">
        <v>9</v>
      </c>
      <c r="E175" t="s">
        <v>41</v>
      </c>
    </row>
    <row r="176" spans="1:5" ht="13.2" x14ac:dyDescent="0.25">
      <c r="A176" s="1">
        <v>2175</v>
      </c>
      <c r="B176" s="1">
        <v>1104</v>
      </c>
      <c r="C176" s="1">
        <v>107</v>
      </c>
      <c r="D176" s="1" t="s">
        <v>14</v>
      </c>
      <c r="E176" t="s">
        <v>39</v>
      </c>
    </row>
    <row r="177" spans="1:5" ht="13.2" x14ac:dyDescent="0.25">
      <c r="A177" s="1">
        <v>2176</v>
      </c>
      <c r="B177" s="1">
        <v>1254</v>
      </c>
      <c r="C177" s="1">
        <v>136</v>
      </c>
      <c r="D177" s="1" t="s">
        <v>9</v>
      </c>
      <c r="E177" t="s">
        <v>42</v>
      </c>
    </row>
    <row r="178" spans="1:5" ht="13.2" x14ac:dyDescent="0.25">
      <c r="A178" s="1">
        <v>2177</v>
      </c>
      <c r="B178" s="1">
        <v>1494</v>
      </c>
      <c r="C178" s="1">
        <v>419</v>
      </c>
      <c r="D178" s="1" t="s">
        <v>7</v>
      </c>
      <c r="E178" t="s">
        <v>39</v>
      </c>
    </row>
    <row r="179" spans="1:5" ht="13.2" x14ac:dyDescent="0.25">
      <c r="A179" s="1">
        <v>2178</v>
      </c>
      <c r="B179" s="1">
        <v>1285</v>
      </c>
      <c r="C179" s="1">
        <v>235</v>
      </c>
      <c r="D179" s="1" t="s">
        <v>9</v>
      </c>
      <c r="E179" t="s">
        <v>41</v>
      </c>
    </row>
    <row r="180" spans="1:5" ht="13.2" x14ac:dyDescent="0.25">
      <c r="A180" s="1">
        <v>2179</v>
      </c>
      <c r="B180" s="1">
        <v>1307</v>
      </c>
      <c r="C180" s="1">
        <v>442</v>
      </c>
      <c r="D180" s="1" t="s">
        <v>7</v>
      </c>
      <c r="E180" t="s">
        <v>39</v>
      </c>
    </row>
    <row r="181" spans="1:5" ht="13.2" x14ac:dyDescent="0.25">
      <c r="A181" s="1">
        <v>2180</v>
      </c>
      <c r="B181" s="1">
        <v>1056</v>
      </c>
      <c r="C181" s="1">
        <v>249</v>
      </c>
      <c r="D181" s="1" t="s">
        <v>7</v>
      </c>
      <c r="E181" t="s">
        <v>41</v>
      </c>
    </row>
    <row r="182" spans="1:5" ht="13.2" x14ac:dyDescent="0.25">
      <c r="A182" s="1">
        <v>2181</v>
      </c>
      <c r="B182" s="1">
        <v>1335</v>
      </c>
      <c r="C182" s="1">
        <v>192</v>
      </c>
      <c r="D182" s="1" t="s">
        <v>25</v>
      </c>
      <c r="E182" t="s">
        <v>42</v>
      </c>
    </row>
    <row r="183" spans="1:5" ht="13.2" x14ac:dyDescent="0.25">
      <c r="A183" s="1">
        <v>2182</v>
      </c>
      <c r="B183" s="1">
        <v>1107</v>
      </c>
      <c r="C183" s="1">
        <v>354</v>
      </c>
      <c r="D183" s="1" t="s">
        <v>25</v>
      </c>
      <c r="E183" t="s">
        <v>41</v>
      </c>
    </row>
    <row r="184" spans="1:5" ht="13.2" x14ac:dyDescent="0.25">
      <c r="A184" s="1">
        <v>2183</v>
      </c>
      <c r="B184" s="1">
        <v>1254</v>
      </c>
      <c r="C184" s="1">
        <v>321</v>
      </c>
      <c r="D184" s="1" t="s">
        <v>9</v>
      </c>
      <c r="E184" t="s">
        <v>42</v>
      </c>
    </row>
    <row r="185" spans="1:5" ht="13.2" x14ac:dyDescent="0.25">
      <c r="A185" s="1">
        <v>2184</v>
      </c>
      <c r="B185" s="1">
        <v>1048</v>
      </c>
      <c r="C185" s="1">
        <v>218</v>
      </c>
      <c r="D185" s="1" t="s">
        <v>12</v>
      </c>
      <c r="E185" t="s">
        <v>41</v>
      </c>
    </row>
    <row r="186" spans="1:5" ht="13.2" x14ac:dyDescent="0.25">
      <c r="A186" s="1">
        <v>2185</v>
      </c>
      <c r="B186" s="1">
        <v>1221</v>
      </c>
      <c r="C186" s="1">
        <v>230</v>
      </c>
      <c r="D186" s="1" t="s">
        <v>7</v>
      </c>
      <c r="E186" t="s">
        <v>40</v>
      </c>
    </row>
    <row r="187" spans="1:5" ht="13.2" x14ac:dyDescent="0.25">
      <c r="A187" s="1">
        <v>2186</v>
      </c>
      <c r="B187" s="1">
        <v>1381</v>
      </c>
      <c r="C187" s="1">
        <v>468</v>
      </c>
      <c r="D187" s="1" t="s">
        <v>14</v>
      </c>
      <c r="E187" t="s">
        <v>38</v>
      </c>
    </row>
    <row r="188" spans="1:5" ht="13.2" x14ac:dyDescent="0.25">
      <c r="A188" s="1">
        <v>2187</v>
      </c>
      <c r="B188" s="1">
        <v>1430</v>
      </c>
      <c r="C188" s="1">
        <v>16</v>
      </c>
      <c r="D188" s="1" t="s">
        <v>12</v>
      </c>
      <c r="E188" t="s">
        <v>41</v>
      </c>
    </row>
    <row r="189" spans="1:5" ht="13.2" x14ac:dyDescent="0.25">
      <c r="A189" s="1">
        <v>2188</v>
      </c>
      <c r="B189" s="1">
        <v>1444</v>
      </c>
      <c r="C189" s="1">
        <v>499</v>
      </c>
      <c r="D189" s="1" t="s">
        <v>9</v>
      </c>
      <c r="E189" t="s">
        <v>41</v>
      </c>
    </row>
    <row r="190" spans="1:5" ht="13.2" x14ac:dyDescent="0.25">
      <c r="A190" s="1">
        <v>2189</v>
      </c>
      <c r="B190" s="1">
        <v>1471</v>
      </c>
      <c r="C190" s="1">
        <v>390</v>
      </c>
      <c r="D190" s="1" t="s">
        <v>25</v>
      </c>
      <c r="E190" t="s">
        <v>39</v>
      </c>
    </row>
    <row r="191" spans="1:5" ht="13.2" x14ac:dyDescent="0.25">
      <c r="A191" s="1">
        <v>2190</v>
      </c>
      <c r="B191" s="1">
        <v>1169</v>
      </c>
      <c r="C191" s="1">
        <v>20</v>
      </c>
      <c r="D191" s="1" t="s">
        <v>12</v>
      </c>
      <c r="E191" t="s">
        <v>40</v>
      </c>
    </row>
    <row r="192" spans="1:5" ht="13.2" x14ac:dyDescent="0.25">
      <c r="A192" s="1">
        <v>2191</v>
      </c>
      <c r="B192" s="1">
        <v>1319</v>
      </c>
      <c r="C192" s="1">
        <v>418</v>
      </c>
      <c r="D192" s="1" t="s">
        <v>9</v>
      </c>
      <c r="E192" t="s">
        <v>39</v>
      </c>
    </row>
    <row r="193" spans="1:5" ht="13.2" x14ac:dyDescent="0.25">
      <c r="A193" s="1">
        <v>2192</v>
      </c>
      <c r="B193" s="1">
        <v>1191</v>
      </c>
      <c r="C193" s="1">
        <v>427</v>
      </c>
      <c r="D193" s="1" t="s">
        <v>14</v>
      </c>
      <c r="E193" t="s">
        <v>38</v>
      </c>
    </row>
    <row r="194" spans="1:5" ht="13.2" x14ac:dyDescent="0.25">
      <c r="A194" s="1">
        <v>2193</v>
      </c>
      <c r="B194" s="1">
        <v>1148</v>
      </c>
      <c r="C194" s="1">
        <v>486</v>
      </c>
      <c r="D194" s="1" t="s">
        <v>25</v>
      </c>
      <c r="E194" t="s">
        <v>41</v>
      </c>
    </row>
    <row r="195" spans="1:5" ht="13.2" x14ac:dyDescent="0.25">
      <c r="A195" s="1">
        <v>2194</v>
      </c>
      <c r="B195" s="1">
        <v>1220</v>
      </c>
      <c r="C195" s="1">
        <v>224</v>
      </c>
      <c r="D195" s="1" t="s">
        <v>9</v>
      </c>
      <c r="E195" t="s">
        <v>40</v>
      </c>
    </row>
    <row r="196" spans="1:5" ht="13.2" x14ac:dyDescent="0.25">
      <c r="A196" s="1">
        <v>2195</v>
      </c>
      <c r="B196" s="1">
        <v>1230</v>
      </c>
      <c r="C196" s="1">
        <v>287</v>
      </c>
      <c r="D196" s="1" t="s">
        <v>14</v>
      </c>
      <c r="E196" t="s">
        <v>42</v>
      </c>
    </row>
    <row r="197" spans="1:5" ht="13.2" x14ac:dyDescent="0.25">
      <c r="A197" s="1">
        <v>2196</v>
      </c>
      <c r="B197" s="1">
        <v>1156</v>
      </c>
      <c r="C197" s="1">
        <v>141</v>
      </c>
      <c r="D197" s="1" t="s">
        <v>12</v>
      </c>
      <c r="E197" t="s">
        <v>41</v>
      </c>
    </row>
    <row r="198" spans="1:5" ht="13.2" x14ac:dyDescent="0.25">
      <c r="A198" s="1">
        <v>2197</v>
      </c>
      <c r="B198" s="1">
        <v>1042</v>
      </c>
      <c r="C198" s="1">
        <v>130</v>
      </c>
      <c r="D198" s="1" t="s">
        <v>14</v>
      </c>
      <c r="E198" t="s">
        <v>38</v>
      </c>
    </row>
    <row r="199" spans="1:5" ht="13.2" x14ac:dyDescent="0.25">
      <c r="A199" s="1">
        <v>2198</v>
      </c>
      <c r="B199" s="1">
        <v>1099</v>
      </c>
      <c r="C199" s="1">
        <v>366</v>
      </c>
      <c r="D199" s="1" t="s">
        <v>9</v>
      </c>
      <c r="E199" t="s">
        <v>42</v>
      </c>
    </row>
    <row r="200" spans="1:5" ht="13.2" x14ac:dyDescent="0.25">
      <c r="A200" s="1">
        <v>2199</v>
      </c>
      <c r="B200" s="1">
        <v>1040</v>
      </c>
      <c r="C200" s="1">
        <v>183</v>
      </c>
      <c r="D200" s="1" t="s">
        <v>12</v>
      </c>
      <c r="E200" t="s">
        <v>38</v>
      </c>
    </row>
    <row r="201" spans="1:5" ht="13.2" x14ac:dyDescent="0.25">
      <c r="A201" s="1">
        <v>2200</v>
      </c>
      <c r="B201" s="1">
        <v>1266</v>
      </c>
      <c r="C201" s="1">
        <v>116</v>
      </c>
      <c r="D201" s="1" t="s">
        <v>9</v>
      </c>
      <c r="E201" t="s">
        <v>40</v>
      </c>
    </row>
    <row r="202" spans="1:5" ht="13.2" x14ac:dyDescent="0.25">
      <c r="A202" s="1">
        <v>2201</v>
      </c>
      <c r="B202" s="1">
        <v>1224</v>
      </c>
      <c r="C202" s="1">
        <v>107</v>
      </c>
      <c r="D202" s="1" t="s">
        <v>7</v>
      </c>
      <c r="E202" t="s">
        <v>38</v>
      </c>
    </row>
    <row r="203" spans="1:5" ht="13.2" x14ac:dyDescent="0.25">
      <c r="A203" s="1">
        <v>2202</v>
      </c>
      <c r="B203" s="1">
        <v>1299</v>
      </c>
      <c r="C203" s="1">
        <v>415</v>
      </c>
      <c r="D203" s="1" t="s">
        <v>12</v>
      </c>
      <c r="E203" t="s">
        <v>39</v>
      </c>
    </row>
    <row r="204" spans="1:5" ht="13.2" x14ac:dyDescent="0.25">
      <c r="A204" s="1">
        <v>2203</v>
      </c>
      <c r="B204" s="1">
        <v>1286</v>
      </c>
      <c r="C204" s="1">
        <v>154</v>
      </c>
      <c r="D204" s="1" t="s">
        <v>7</v>
      </c>
      <c r="E204" t="s">
        <v>39</v>
      </c>
    </row>
    <row r="205" spans="1:5" ht="13.2" x14ac:dyDescent="0.25">
      <c r="A205" s="1">
        <v>2204</v>
      </c>
      <c r="B205" s="1">
        <v>1297</v>
      </c>
      <c r="C205" s="1">
        <v>385</v>
      </c>
      <c r="D205" s="1" t="s">
        <v>9</v>
      </c>
      <c r="E205" t="s">
        <v>39</v>
      </c>
    </row>
    <row r="206" spans="1:5" ht="13.2" x14ac:dyDescent="0.25">
      <c r="A206" s="1">
        <v>2205</v>
      </c>
      <c r="B206" s="1">
        <v>1440</v>
      </c>
      <c r="C206" s="1">
        <v>82</v>
      </c>
      <c r="D206" s="1" t="s">
        <v>7</v>
      </c>
      <c r="E206" t="s">
        <v>41</v>
      </c>
    </row>
    <row r="207" spans="1:5" ht="13.2" x14ac:dyDescent="0.25">
      <c r="A207" s="1">
        <v>2206</v>
      </c>
      <c r="B207" s="1">
        <v>1303</v>
      </c>
      <c r="C207" s="1">
        <v>29</v>
      </c>
      <c r="D207" s="1" t="s">
        <v>25</v>
      </c>
      <c r="E207" t="s">
        <v>39</v>
      </c>
    </row>
    <row r="208" spans="1:5" ht="13.2" x14ac:dyDescent="0.25">
      <c r="A208" s="1">
        <v>2207</v>
      </c>
      <c r="B208" s="1">
        <v>1143</v>
      </c>
      <c r="C208" s="1">
        <v>76</v>
      </c>
      <c r="D208" s="1" t="s">
        <v>25</v>
      </c>
      <c r="E208" t="s">
        <v>39</v>
      </c>
    </row>
    <row r="209" spans="1:5" ht="13.2" x14ac:dyDescent="0.25">
      <c r="A209" s="1">
        <v>2208</v>
      </c>
      <c r="B209" s="1">
        <v>1093</v>
      </c>
      <c r="C209" s="1">
        <v>413</v>
      </c>
      <c r="D209" s="1" t="s">
        <v>12</v>
      </c>
      <c r="E209" t="s">
        <v>42</v>
      </c>
    </row>
    <row r="210" spans="1:5" ht="13.2" x14ac:dyDescent="0.25">
      <c r="A210" s="1">
        <v>2209</v>
      </c>
      <c r="B210" s="1">
        <v>1398</v>
      </c>
      <c r="C210" s="1">
        <v>404</v>
      </c>
      <c r="D210" s="1" t="s">
        <v>7</v>
      </c>
      <c r="E210" t="s">
        <v>40</v>
      </c>
    </row>
    <row r="211" spans="1:5" ht="13.2" x14ac:dyDescent="0.25">
      <c r="A211" s="1">
        <v>2210</v>
      </c>
      <c r="B211" s="1">
        <v>1378</v>
      </c>
      <c r="C211" s="1">
        <v>104</v>
      </c>
      <c r="D211" s="1" t="s">
        <v>25</v>
      </c>
      <c r="E211" t="s">
        <v>40</v>
      </c>
    </row>
    <row r="212" spans="1:5" ht="13.2" x14ac:dyDescent="0.25">
      <c r="A212" s="1">
        <v>2211</v>
      </c>
      <c r="B212" s="1">
        <v>1143</v>
      </c>
      <c r="C212" s="1">
        <v>29</v>
      </c>
      <c r="D212" s="1" t="s">
        <v>12</v>
      </c>
      <c r="E212" t="s">
        <v>38</v>
      </c>
    </row>
    <row r="213" spans="1:5" ht="13.2" x14ac:dyDescent="0.25">
      <c r="A213" s="1">
        <v>2212</v>
      </c>
      <c r="B213" s="1">
        <v>1431</v>
      </c>
      <c r="C213" s="1">
        <v>401</v>
      </c>
      <c r="D213" s="1" t="s">
        <v>12</v>
      </c>
      <c r="E213" t="s">
        <v>38</v>
      </c>
    </row>
    <row r="214" spans="1:5" ht="13.2" x14ac:dyDescent="0.25">
      <c r="A214" s="1">
        <v>2213</v>
      </c>
      <c r="B214" s="1">
        <v>1067</v>
      </c>
      <c r="C214" s="1">
        <v>181</v>
      </c>
      <c r="D214" s="1" t="s">
        <v>25</v>
      </c>
      <c r="E214" t="s">
        <v>40</v>
      </c>
    </row>
    <row r="215" spans="1:5" ht="13.2" x14ac:dyDescent="0.25">
      <c r="A215" s="1">
        <v>2214</v>
      </c>
      <c r="B215" s="1">
        <v>1167</v>
      </c>
      <c r="C215" s="1">
        <v>482</v>
      </c>
      <c r="D215" s="1" t="s">
        <v>25</v>
      </c>
      <c r="E215" t="s">
        <v>41</v>
      </c>
    </row>
    <row r="216" spans="1:5" ht="13.2" x14ac:dyDescent="0.25">
      <c r="A216" s="1">
        <v>2215</v>
      </c>
      <c r="B216" s="1">
        <v>1449</v>
      </c>
      <c r="C216" s="1">
        <v>373</v>
      </c>
      <c r="D216" s="1" t="s">
        <v>7</v>
      </c>
      <c r="E216" t="s">
        <v>41</v>
      </c>
    </row>
    <row r="217" spans="1:5" ht="13.2" x14ac:dyDescent="0.25">
      <c r="A217" s="1">
        <v>2216</v>
      </c>
      <c r="B217" s="1">
        <v>1206</v>
      </c>
      <c r="C217" s="1">
        <v>139</v>
      </c>
      <c r="D217" s="1" t="s">
        <v>7</v>
      </c>
      <c r="E217" t="s">
        <v>38</v>
      </c>
    </row>
    <row r="218" spans="1:5" ht="13.2" x14ac:dyDescent="0.25">
      <c r="A218" s="1">
        <v>2217</v>
      </c>
      <c r="B218" s="1">
        <v>1068</v>
      </c>
      <c r="C218" s="1">
        <v>42</v>
      </c>
      <c r="D218" s="1" t="s">
        <v>14</v>
      </c>
      <c r="E218" t="s">
        <v>39</v>
      </c>
    </row>
    <row r="219" spans="1:5" ht="13.2" x14ac:dyDescent="0.25">
      <c r="A219" s="1">
        <v>2218</v>
      </c>
      <c r="B219" s="1">
        <v>1238</v>
      </c>
      <c r="C219" s="1">
        <v>332</v>
      </c>
      <c r="D219" s="1" t="s">
        <v>25</v>
      </c>
      <c r="E219" t="s">
        <v>38</v>
      </c>
    </row>
    <row r="220" spans="1:5" ht="13.2" x14ac:dyDescent="0.25">
      <c r="A220" s="1">
        <v>2219</v>
      </c>
      <c r="B220" s="1">
        <v>1053</v>
      </c>
      <c r="C220" s="1">
        <v>405</v>
      </c>
      <c r="D220" s="1" t="s">
        <v>9</v>
      </c>
      <c r="E220" t="s">
        <v>38</v>
      </c>
    </row>
    <row r="221" spans="1:5" ht="13.2" x14ac:dyDescent="0.25">
      <c r="A221" s="1">
        <v>2220</v>
      </c>
      <c r="B221" s="1">
        <v>1451</v>
      </c>
      <c r="C221" s="1">
        <v>484</v>
      </c>
      <c r="D221" s="1" t="s">
        <v>9</v>
      </c>
      <c r="E221" t="s">
        <v>42</v>
      </c>
    </row>
    <row r="222" spans="1:5" ht="13.2" x14ac:dyDescent="0.25">
      <c r="A222" s="1">
        <v>2221</v>
      </c>
      <c r="B222" s="1">
        <v>1342</v>
      </c>
      <c r="C222" s="1">
        <v>330</v>
      </c>
      <c r="D222" s="1" t="s">
        <v>9</v>
      </c>
      <c r="E222" t="s">
        <v>39</v>
      </c>
    </row>
    <row r="223" spans="1:5" ht="13.2" x14ac:dyDescent="0.25">
      <c r="A223" s="1">
        <v>2222</v>
      </c>
      <c r="B223" s="1">
        <v>1093</v>
      </c>
      <c r="C223" s="1">
        <v>170</v>
      </c>
      <c r="D223" s="1" t="s">
        <v>25</v>
      </c>
      <c r="E223" t="s">
        <v>40</v>
      </c>
    </row>
    <row r="224" spans="1:5" ht="13.2" x14ac:dyDescent="0.25">
      <c r="A224" s="1">
        <v>2223</v>
      </c>
      <c r="B224" s="1">
        <v>1185</v>
      </c>
      <c r="C224" s="1">
        <v>335</v>
      </c>
      <c r="D224" s="1" t="s">
        <v>14</v>
      </c>
      <c r="E224" t="s">
        <v>41</v>
      </c>
    </row>
    <row r="225" spans="1:5" ht="13.2" x14ac:dyDescent="0.25">
      <c r="A225" s="1">
        <v>2224</v>
      </c>
      <c r="B225" s="1">
        <v>1149</v>
      </c>
      <c r="C225" s="1">
        <v>324</v>
      </c>
      <c r="D225" s="1" t="s">
        <v>7</v>
      </c>
      <c r="E225" t="s">
        <v>40</v>
      </c>
    </row>
    <row r="226" spans="1:5" ht="13.2" x14ac:dyDescent="0.25">
      <c r="A226" s="1">
        <v>2225</v>
      </c>
      <c r="B226" s="1">
        <v>1037</v>
      </c>
      <c r="C226" s="1">
        <v>192</v>
      </c>
      <c r="D226" s="1" t="s">
        <v>14</v>
      </c>
      <c r="E226" t="s">
        <v>42</v>
      </c>
    </row>
    <row r="227" spans="1:5" ht="13.2" x14ac:dyDescent="0.25">
      <c r="A227" s="1">
        <v>2226</v>
      </c>
      <c r="B227" s="1">
        <v>1315</v>
      </c>
      <c r="C227" s="1">
        <v>342</v>
      </c>
      <c r="D227" s="1" t="s">
        <v>7</v>
      </c>
      <c r="E227" t="s">
        <v>38</v>
      </c>
    </row>
    <row r="228" spans="1:5" ht="13.2" x14ac:dyDescent="0.25">
      <c r="A228" s="1">
        <v>2227</v>
      </c>
      <c r="B228" s="1">
        <v>1419</v>
      </c>
      <c r="C228" s="1">
        <v>201</v>
      </c>
      <c r="D228" s="1" t="s">
        <v>9</v>
      </c>
      <c r="E228" t="s">
        <v>41</v>
      </c>
    </row>
    <row r="229" spans="1:5" ht="13.2" x14ac:dyDescent="0.25">
      <c r="A229" s="1">
        <v>2228</v>
      </c>
      <c r="B229" s="1">
        <v>1362</v>
      </c>
      <c r="C229" s="1">
        <v>280</v>
      </c>
      <c r="D229" s="1" t="s">
        <v>12</v>
      </c>
      <c r="E229" t="s">
        <v>39</v>
      </c>
    </row>
    <row r="230" spans="1:5" ht="13.2" x14ac:dyDescent="0.25">
      <c r="A230" s="1">
        <v>2229</v>
      </c>
      <c r="B230" s="1">
        <v>1212</v>
      </c>
      <c r="C230" s="1">
        <v>34</v>
      </c>
      <c r="D230" s="1" t="s">
        <v>7</v>
      </c>
      <c r="E230" t="s">
        <v>38</v>
      </c>
    </row>
    <row r="231" spans="1:5" ht="13.2" x14ac:dyDescent="0.25">
      <c r="A231" s="1">
        <v>2230</v>
      </c>
      <c r="B231" s="1">
        <v>1152</v>
      </c>
      <c r="C231" s="1">
        <v>485</v>
      </c>
      <c r="D231" s="1" t="s">
        <v>9</v>
      </c>
      <c r="E231" t="s">
        <v>42</v>
      </c>
    </row>
    <row r="232" spans="1:5" ht="13.2" x14ac:dyDescent="0.25">
      <c r="A232" s="1">
        <v>2231</v>
      </c>
      <c r="B232" s="1">
        <v>1195</v>
      </c>
      <c r="C232" s="1">
        <v>332</v>
      </c>
      <c r="D232" s="1" t="s">
        <v>7</v>
      </c>
      <c r="E232" t="s">
        <v>41</v>
      </c>
    </row>
    <row r="233" spans="1:5" ht="13.2" x14ac:dyDescent="0.25">
      <c r="A233" s="1">
        <v>2232</v>
      </c>
      <c r="B233" s="1">
        <v>1409</v>
      </c>
      <c r="C233" s="1">
        <v>118</v>
      </c>
      <c r="D233" s="1" t="s">
        <v>12</v>
      </c>
      <c r="E233" t="s">
        <v>40</v>
      </c>
    </row>
    <row r="234" spans="1:5" ht="13.2" x14ac:dyDescent="0.25">
      <c r="A234" s="1">
        <v>2233</v>
      </c>
      <c r="B234" s="1">
        <v>1062</v>
      </c>
      <c r="C234" s="1">
        <v>36</v>
      </c>
      <c r="D234" s="1" t="s">
        <v>14</v>
      </c>
      <c r="E234" t="s">
        <v>41</v>
      </c>
    </row>
    <row r="235" spans="1:5" ht="13.2" x14ac:dyDescent="0.25">
      <c r="A235" s="1">
        <v>2234</v>
      </c>
      <c r="B235" s="1">
        <v>1154</v>
      </c>
      <c r="C235" s="1">
        <v>198</v>
      </c>
      <c r="D235" s="1" t="s">
        <v>14</v>
      </c>
      <c r="E235" t="s">
        <v>39</v>
      </c>
    </row>
    <row r="236" spans="1:5" ht="13.2" x14ac:dyDescent="0.25">
      <c r="A236" s="1">
        <v>2235</v>
      </c>
      <c r="B236" s="1">
        <v>1292</v>
      </c>
      <c r="C236" s="1">
        <v>269</v>
      </c>
      <c r="D236" s="1" t="s">
        <v>7</v>
      </c>
      <c r="E236" t="s">
        <v>41</v>
      </c>
    </row>
    <row r="237" spans="1:5" ht="13.2" x14ac:dyDescent="0.25">
      <c r="A237" s="1">
        <v>2236</v>
      </c>
      <c r="B237" s="1">
        <v>1423</v>
      </c>
      <c r="C237" s="1">
        <v>198</v>
      </c>
      <c r="D237" s="1" t="s">
        <v>25</v>
      </c>
      <c r="E237" t="s">
        <v>40</v>
      </c>
    </row>
    <row r="238" spans="1:5" ht="13.2" x14ac:dyDescent="0.25">
      <c r="A238" s="1">
        <v>2237</v>
      </c>
      <c r="B238" s="1">
        <v>1231</v>
      </c>
      <c r="C238" s="1">
        <v>74</v>
      </c>
      <c r="D238" s="1" t="s">
        <v>12</v>
      </c>
      <c r="E238" t="s">
        <v>39</v>
      </c>
    </row>
    <row r="239" spans="1:5" ht="13.2" x14ac:dyDescent="0.25">
      <c r="A239" s="1">
        <v>2238</v>
      </c>
      <c r="B239" s="1">
        <v>1048</v>
      </c>
      <c r="C239" s="1">
        <v>219</v>
      </c>
      <c r="D239" s="1" t="s">
        <v>14</v>
      </c>
      <c r="E239" t="s">
        <v>42</v>
      </c>
    </row>
    <row r="240" spans="1:5" ht="13.2" x14ac:dyDescent="0.25">
      <c r="A240" s="1">
        <v>2239</v>
      </c>
      <c r="B240" s="1">
        <v>1052</v>
      </c>
      <c r="C240" s="1">
        <v>195</v>
      </c>
      <c r="D240" s="1" t="s">
        <v>7</v>
      </c>
      <c r="E240" t="s">
        <v>40</v>
      </c>
    </row>
    <row r="241" spans="1:5" ht="13.2" x14ac:dyDescent="0.25">
      <c r="A241" s="1">
        <v>2240</v>
      </c>
      <c r="B241" s="1">
        <v>1463</v>
      </c>
      <c r="C241" s="1">
        <v>382</v>
      </c>
      <c r="D241" s="1" t="s">
        <v>9</v>
      </c>
      <c r="E241" t="s">
        <v>42</v>
      </c>
    </row>
    <row r="242" spans="1:5" ht="13.2" x14ac:dyDescent="0.25">
      <c r="A242" s="1">
        <v>2241</v>
      </c>
      <c r="B242" s="1">
        <v>1364</v>
      </c>
      <c r="C242" s="1">
        <v>217</v>
      </c>
      <c r="D242" s="1" t="s">
        <v>7</v>
      </c>
      <c r="E242" t="s">
        <v>38</v>
      </c>
    </row>
    <row r="243" spans="1:5" ht="13.2" x14ac:dyDescent="0.25">
      <c r="A243" s="1">
        <v>2242</v>
      </c>
      <c r="B243" s="1">
        <v>1078</v>
      </c>
      <c r="C243" s="1">
        <v>308</v>
      </c>
      <c r="D243" s="1" t="s">
        <v>14</v>
      </c>
      <c r="E243" t="s">
        <v>42</v>
      </c>
    </row>
    <row r="244" spans="1:5" ht="13.2" x14ac:dyDescent="0.25">
      <c r="A244" s="1">
        <v>2243</v>
      </c>
      <c r="B244" s="1">
        <v>1152</v>
      </c>
      <c r="C244" s="1">
        <v>167</v>
      </c>
      <c r="D244" s="1" t="s">
        <v>14</v>
      </c>
      <c r="E244" t="s">
        <v>41</v>
      </c>
    </row>
    <row r="245" spans="1:5" ht="13.2" x14ac:dyDescent="0.25">
      <c r="A245" s="1">
        <v>2244</v>
      </c>
      <c r="B245" s="1">
        <v>1191</v>
      </c>
      <c r="C245" s="1">
        <v>415</v>
      </c>
      <c r="D245" s="1" t="s">
        <v>7</v>
      </c>
      <c r="E245" t="s">
        <v>42</v>
      </c>
    </row>
    <row r="246" spans="1:5" ht="13.2" x14ac:dyDescent="0.25">
      <c r="A246" s="1">
        <v>2245</v>
      </c>
      <c r="B246" s="1">
        <v>1181</v>
      </c>
      <c r="C246" s="1">
        <v>140</v>
      </c>
      <c r="D246" s="1" t="s">
        <v>25</v>
      </c>
      <c r="E246" t="s">
        <v>42</v>
      </c>
    </row>
    <row r="247" spans="1:5" ht="13.2" x14ac:dyDescent="0.25">
      <c r="A247" s="1">
        <v>2246</v>
      </c>
      <c r="B247" s="1">
        <v>1021</v>
      </c>
      <c r="C247" s="1">
        <v>51</v>
      </c>
      <c r="D247" s="1" t="s">
        <v>12</v>
      </c>
      <c r="E247" t="s">
        <v>38</v>
      </c>
    </row>
    <row r="248" spans="1:5" ht="13.2" x14ac:dyDescent="0.25">
      <c r="A248" s="1">
        <v>2247</v>
      </c>
      <c r="B248" s="1">
        <v>1226</v>
      </c>
      <c r="C248" s="1">
        <v>198</v>
      </c>
      <c r="D248" s="1" t="s">
        <v>7</v>
      </c>
      <c r="E248" t="s">
        <v>41</v>
      </c>
    </row>
    <row r="249" spans="1:5" ht="13.2" x14ac:dyDescent="0.25">
      <c r="A249" s="1">
        <v>2248</v>
      </c>
      <c r="B249" s="1">
        <v>1273</v>
      </c>
      <c r="C249" s="1">
        <v>386</v>
      </c>
      <c r="D249" s="1" t="s">
        <v>7</v>
      </c>
      <c r="E249" t="s">
        <v>41</v>
      </c>
    </row>
    <row r="250" spans="1:5" ht="13.2" x14ac:dyDescent="0.25">
      <c r="A250" s="1">
        <v>2249</v>
      </c>
      <c r="B250" s="1">
        <v>1117</v>
      </c>
      <c r="C250" s="1">
        <v>299</v>
      </c>
      <c r="D250" s="1" t="s">
        <v>9</v>
      </c>
      <c r="E250" t="s">
        <v>42</v>
      </c>
    </row>
    <row r="251" spans="1:5" ht="13.2" x14ac:dyDescent="0.25">
      <c r="A251" s="1">
        <v>2250</v>
      </c>
      <c r="B251" s="1">
        <v>1484</v>
      </c>
      <c r="C251" s="1">
        <v>111</v>
      </c>
      <c r="D251" s="1" t="s">
        <v>25</v>
      </c>
      <c r="E251" t="s">
        <v>38</v>
      </c>
    </row>
    <row r="252" spans="1:5" ht="13.2" x14ac:dyDescent="0.25">
      <c r="A252" s="1">
        <v>2251</v>
      </c>
      <c r="B252" s="1">
        <v>1213</v>
      </c>
      <c r="C252" s="1">
        <v>368</v>
      </c>
      <c r="D252" s="1" t="s">
        <v>7</v>
      </c>
      <c r="E252" t="s">
        <v>41</v>
      </c>
    </row>
    <row r="253" spans="1:5" ht="13.2" x14ac:dyDescent="0.25">
      <c r="A253" s="1">
        <v>2252</v>
      </c>
      <c r="B253" s="1">
        <v>1181</v>
      </c>
      <c r="C253" s="1">
        <v>180</v>
      </c>
      <c r="D253" s="1" t="s">
        <v>12</v>
      </c>
      <c r="E253" t="s">
        <v>40</v>
      </c>
    </row>
    <row r="254" spans="1:5" ht="13.2" x14ac:dyDescent="0.25">
      <c r="A254" s="1">
        <v>2253</v>
      </c>
      <c r="B254" s="1">
        <v>1328</v>
      </c>
      <c r="C254" s="1">
        <v>136</v>
      </c>
      <c r="D254" s="1" t="s">
        <v>12</v>
      </c>
      <c r="E254" t="s">
        <v>39</v>
      </c>
    </row>
    <row r="255" spans="1:5" ht="13.2" x14ac:dyDescent="0.25">
      <c r="A255" s="1">
        <v>2254</v>
      </c>
      <c r="B255" s="1">
        <v>1066</v>
      </c>
      <c r="C255" s="1">
        <v>283</v>
      </c>
      <c r="D255" s="1" t="s">
        <v>9</v>
      </c>
      <c r="E255" t="s">
        <v>40</v>
      </c>
    </row>
    <row r="256" spans="1:5" ht="13.2" x14ac:dyDescent="0.25">
      <c r="A256" s="1">
        <v>2255</v>
      </c>
      <c r="B256" s="1">
        <v>1421</v>
      </c>
      <c r="C256" s="1">
        <v>339</v>
      </c>
      <c r="D256" s="1" t="s">
        <v>9</v>
      </c>
      <c r="E256" t="s">
        <v>38</v>
      </c>
    </row>
    <row r="257" spans="1:5" ht="13.2" x14ac:dyDescent="0.25">
      <c r="A257" s="1">
        <v>2256</v>
      </c>
      <c r="B257" s="1">
        <v>1277</v>
      </c>
      <c r="C257" s="1">
        <v>468</v>
      </c>
      <c r="D257" s="1" t="s">
        <v>12</v>
      </c>
      <c r="E257" t="s">
        <v>41</v>
      </c>
    </row>
    <row r="258" spans="1:5" ht="13.2" x14ac:dyDescent="0.25">
      <c r="A258" s="1">
        <v>2257</v>
      </c>
      <c r="B258" s="1">
        <v>1495</v>
      </c>
      <c r="C258" s="1">
        <v>76</v>
      </c>
      <c r="D258" s="1" t="s">
        <v>7</v>
      </c>
      <c r="E258" t="s">
        <v>39</v>
      </c>
    </row>
    <row r="259" spans="1:5" ht="13.2" x14ac:dyDescent="0.25">
      <c r="A259" s="1">
        <v>2258</v>
      </c>
      <c r="B259" s="1">
        <v>1023</v>
      </c>
      <c r="C259" s="1">
        <v>376</v>
      </c>
      <c r="D259" s="1" t="s">
        <v>9</v>
      </c>
      <c r="E259" t="s">
        <v>39</v>
      </c>
    </row>
    <row r="260" spans="1:5" ht="13.2" x14ac:dyDescent="0.25">
      <c r="A260" s="1">
        <v>2259</v>
      </c>
      <c r="B260" s="1">
        <v>1156</v>
      </c>
      <c r="C260" s="1">
        <v>356</v>
      </c>
      <c r="D260" s="1" t="s">
        <v>25</v>
      </c>
      <c r="E260" t="s">
        <v>39</v>
      </c>
    </row>
    <row r="261" spans="1:5" ht="13.2" x14ac:dyDescent="0.25">
      <c r="A261" s="1">
        <v>2260</v>
      </c>
      <c r="B261" s="1">
        <v>1443</v>
      </c>
      <c r="C261" s="1">
        <v>435</v>
      </c>
      <c r="D261" s="1" t="s">
        <v>7</v>
      </c>
      <c r="E261" t="s">
        <v>39</v>
      </c>
    </row>
    <row r="262" spans="1:5" ht="13.2" x14ac:dyDescent="0.25">
      <c r="A262" s="1">
        <v>2261</v>
      </c>
      <c r="B262" s="1">
        <v>1098</v>
      </c>
      <c r="C262" s="1">
        <v>415</v>
      </c>
      <c r="D262" s="1" t="s">
        <v>25</v>
      </c>
      <c r="E262" t="s">
        <v>38</v>
      </c>
    </row>
    <row r="263" spans="1:5" ht="13.2" x14ac:dyDescent="0.25">
      <c r="A263" s="1">
        <v>2262</v>
      </c>
      <c r="B263" s="1">
        <v>1159</v>
      </c>
      <c r="C263" s="1">
        <v>62</v>
      </c>
      <c r="D263" s="1" t="s">
        <v>9</v>
      </c>
      <c r="E263" t="s">
        <v>39</v>
      </c>
    </row>
    <row r="264" spans="1:5" ht="13.2" x14ac:dyDescent="0.25">
      <c r="A264" s="1">
        <v>2263</v>
      </c>
      <c r="B264" s="1">
        <v>1174</v>
      </c>
      <c r="C264" s="1">
        <v>23</v>
      </c>
      <c r="D264" s="1" t="s">
        <v>12</v>
      </c>
      <c r="E264" t="s">
        <v>41</v>
      </c>
    </row>
    <row r="265" spans="1:5" ht="13.2" x14ac:dyDescent="0.25">
      <c r="A265" s="1">
        <v>2264</v>
      </c>
      <c r="B265" s="1">
        <v>1132</v>
      </c>
      <c r="C265" s="1">
        <v>142</v>
      </c>
      <c r="D265" s="1" t="s">
        <v>14</v>
      </c>
      <c r="E265" t="s">
        <v>38</v>
      </c>
    </row>
    <row r="266" spans="1:5" ht="13.2" x14ac:dyDescent="0.25">
      <c r="A266" s="1">
        <v>2265</v>
      </c>
      <c r="B266" s="1">
        <v>1036</v>
      </c>
      <c r="C266" s="1">
        <v>20</v>
      </c>
      <c r="D266" s="1" t="s">
        <v>7</v>
      </c>
      <c r="E266" t="s">
        <v>38</v>
      </c>
    </row>
    <row r="267" spans="1:5" ht="13.2" x14ac:dyDescent="0.25">
      <c r="A267" s="1">
        <v>2266</v>
      </c>
      <c r="B267" s="1">
        <v>1312</v>
      </c>
      <c r="C267" s="1">
        <v>349</v>
      </c>
      <c r="D267" s="1" t="s">
        <v>25</v>
      </c>
      <c r="E267" t="s">
        <v>39</v>
      </c>
    </row>
    <row r="268" spans="1:5" ht="13.2" x14ac:dyDescent="0.25">
      <c r="A268" s="1">
        <v>2267</v>
      </c>
      <c r="B268" s="1">
        <v>1324</v>
      </c>
      <c r="C268" s="1">
        <v>103</v>
      </c>
      <c r="D268" s="1" t="s">
        <v>25</v>
      </c>
      <c r="E268" t="s">
        <v>42</v>
      </c>
    </row>
    <row r="269" spans="1:5" ht="13.2" x14ac:dyDescent="0.25">
      <c r="A269" s="1">
        <v>2268</v>
      </c>
      <c r="B269" s="1">
        <v>1418</v>
      </c>
      <c r="C269" s="1">
        <v>453</v>
      </c>
      <c r="D269" s="1" t="s">
        <v>9</v>
      </c>
      <c r="E269" t="s">
        <v>42</v>
      </c>
    </row>
    <row r="270" spans="1:5" ht="13.2" x14ac:dyDescent="0.25">
      <c r="A270" s="1">
        <v>2269</v>
      </c>
      <c r="B270" s="1">
        <v>1223</v>
      </c>
      <c r="C270" s="1">
        <v>48</v>
      </c>
      <c r="D270" s="1" t="s">
        <v>12</v>
      </c>
      <c r="E270" t="s">
        <v>41</v>
      </c>
    </row>
    <row r="271" spans="1:5" ht="13.2" x14ac:dyDescent="0.25">
      <c r="A271" s="1">
        <v>2270</v>
      </c>
      <c r="B271" s="1">
        <v>1169</v>
      </c>
      <c r="C271" s="1">
        <v>35</v>
      </c>
      <c r="D271" s="1" t="s">
        <v>7</v>
      </c>
      <c r="E271" t="s">
        <v>40</v>
      </c>
    </row>
    <row r="272" spans="1:5" ht="13.2" x14ac:dyDescent="0.25">
      <c r="A272" s="1">
        <v>2271</v>
      </c>
      <c r="B272" s="1">
        <v>1423</v>
      </c>
      <c r="C272" s="1">
        <v>189</v>
      </c>
      <c r="D272" s="1" t="s">
        <v>7</v>
      </c>
      <c r="E272" t="s">
        <v>41</v>
      </c>
    </row>
    <row r="273" spans="1:5" ht="13.2" x14ac:dyDescent="0.25">
      <c r="A273" s="1">
        <v>2272</v>
      </c>
      <c r="B273" s="1">
        <v>1039</v>
      </c>
      <c r="C273" s="1">
        <v>380</v>
      </c>
      <c r="D273" s="1" t="s">
        <v>12</v>
      </c>
      <c r="E273" t="s">
        <v>41</v>
      </c>
    </row>
    <row r="274" spans="1:5" ht="13.2" x14ac:dyDescent="0.25">
      <c r="A274" s="1">
        <v>2273</v>
      </c>
      <c r="B274" s="1">
        <v>1021</v>
      </c>
      <c r="C274" s="1">
        <v>328</v>
      </c>
      <c r="D274" s="1" t="s">
        <v>12</v>
      </c>
      <c r="E274" t="s">
        <v>42</v>
      </c>
    </row>
    <row r="275" spans="1:5" ht="13.2" x14ac:dyDescent="0.25">
      <c r="A275" s="1">
        <v>2274</v>
      </c>
      <c r="B275" s="1">
        <v>1492</v>
      </c>
      <c r="C275" s="1">
        <v>143</v>
      </c>
      <c r="D275" s="1" t="s">
        <v>25</v>
      </c>
      <c r="E275" t="s">
        <v>41</v>
      </c>
    </row>
    <row r="276" spans="1:5" ht="13.2" x14ac:dyDescent="0.25">
      <c r="A276" s="1">
        <v>2275</v>
      </c>
      <c r="B276" s="1">
        <v>1064</v>
      </c>
      <c r="C276" s="1">
        <v>81</v>
      </c>
      <c r="D276" s="1" t="s">
        <v>25</v>
      </c>
      <c r="E276" t="s">
        <v>39</v>
      </c>
    </row>
    <row r="277" spans="1:5" ht="13.2" x14ac:dyDescent="0.25">
      <c r="A277" s="1">
        <v>2276</v>
      </c>
      <c r="B277" s="1">
        <v>1185</v>
      </c>
      <c r="C277" s="1">
        <v>184</v>
      </c>
      <c r="D277" s="1" t="s">
        <v>12</v>
      </c>
      <c r="E277" t="s">
        <v>38</v>
      </c>
    </row>
    <row r="278" spans="1:5" ht="13.2" x14ac:dyDescent="0.25">
      <c r="A278" s="1">
        <v>2277</v>
      </c>
      <c r="B278" s="1">
        <v>1155</v>
      </c>
      <c r="C278" s="1">
        <v>175</v>
      </c>
      <c r="D278" s="1" t="s">
        <v>14</v>
      </c>
      <c r="E278" t="s">
        <v>42</v>
      </c>
    </row>
    <row r="279" spans="1:5" ht="13.2" x14ac:dyDescent="0.25">
      <c r="A279" s="1">
        <v>2278</v>
      </c>
      <c r="B279" s="1">
        <v>1500</v>
      </c>
      <c r="C279" s="1">
        <v>150</v>
      </c>
      <c r="D279" s="1" t="s">
        <v>9</v>
      </c>
      <c r="E279" t="s">
        <v>41</v>
      </c>
    </row>
    <row r="280" spans="1:5" ht="13.2" x14ac:dyDescent="0.25">
      <c r="A280" s="1">
        <v>2279</v>
      </c>
      <c r="B280" s="1">
        <v>1461</v>
      </c>
      <c r="C280" s="1">
        <v>236</v>
      </c>
      <c r="D280" s="1" t="s">
        <v>14</v>
      </c>
      <c r="E280" t="s">
        <v>40</v>
      </c>
    </row>
    <row r="281" spans="1:5" ht="13.2" x14ac:dyDescent="0.25">
      <c r="A281" s="1">
        <v>2280</v>
      </c>
      <c r="B281" s="1">
        <v>1189</v>
      </c>
      <c r="C281" s="1">
        <v>460</v>
      </c>
      <c r="D281" s="1" t="s">
        <v>9</v>
      </c>
      <c r="E281" t="s">
        <v>41</v>
      </c>
    </row>
    <row r="282" spans="1:5" ht="13.2" x14ac:dyDescent="0.25">
      <c r="A282" s="1">
        <v>2281</v>
      </c>
      <c r="B282" s="1">
        <v>1047</v>
      </c>
      <c r="C282" s="1">
        <v>126</v>
      </c>
      <c r="D282" s="1" t="s">
        <v>7</v>
      </c>
      <c r="E282" t="s">
        <v>42</v>
      </c>
    </row>
    <row r="283" spans="1:5" ht="13.2" x14ac:dyDescent="0.25">
      <c r="A283" s="1">
        <v>2282</v>
      </c>
      <c r="B283" s="1">
        <v>1485</v>
      </c>
      <c r="C283" s="1">
        <v>480</v>
      </c>
      <c r="D283" s="1" t="s">
        <v>12</v>
      </c>
      <c r="E283" t="s">
        <v>40</v>
      </c>
    </row>
    <row r="284" spans="1:5" ht="13.2" x14ac:dyDescent="0.25">
      <c r="A284" s="1">
        <v>2283</v>
      </c>
      <c r="B284" s="1">
        <v>1379</v>
      </c>
      <c r="C284" s="1">
        <v>36</v>
      </c>
      <c r="D284" s="1" t="s">
        <v>12</v>
      </c>
      <c r="E284" t="s">
        <v>38</v>
      </c>
    </row>
    <row r="285" spans="1:5" ht="13.2" x14ac:dyDescent="0.25">
      <c r="A285" s="1">
        <v>2284</v>
      </c>
      <c r="B285" s="1">
        <v>1491</v>
      </c>
      <c r="C285" s="1">
        <v>279</v>
      </c>
      <c r="D285" s="1" t="s">
        <v>25</v>
      </c>
      <c r="E285" t="s">
        <v>40</v>
      </c>
    </row>
    <row r="286" spans="1:5" ht="13.2" x14ac:dyDescent="0.25">
      <c r="A286" s="1">
        <v>2285</v>
      </c>
      <c r="B286" s="1">
        <v>1368</v>
      </c>
      <c r="C286" s="1">
        <v>378</v>
      </c>
      <c r="D286" s="1" t="s">
        <v>25</v>
      </c>
      <c r="E286" t="s">
        <v>42</v>
      </c>
    </row>
    <row r="287" spans="1:5" ht="13.2" x14ac:dyDescent="0.25">
      <c r="A287" s="1">
        <v>2286</v>
      </c>
      <c r="B287" s="1">
        <v>1023</v>
      </c>
      <c r="C287" s="1">
        <v>50</v>
      </c>
      <c r="D287" s="1" t="s">
        <v>25</v>
      </c>
      <c r="E287" t="s">
        <v>42</v>
      </c>
    </row>
    <row r="288" spans="1:5" ht="13.2" x14ac:dyDescent="0.25">
      <c r="A288" s="1">
        <v>2287</v>
      </c>
      <c r="B288" s="1">
        <v>1108</v>
      </c>
      <c r="C288" s="1">
        <v>268</v>
      </c>
      <c r="D288" s="1" t="s">
        <v>7</v>
      </c>
      <c r="E288" t="s">
        <v>38</v>
      </c>
    </row>
    <row r="289" spans="1:5" ht="13.2" x14ac:dyDescent="0.25">
      <c r="A289" s="1">
        <v>2288</v>
      </c>
      <c r="B289" s="1">
        <v>1363</v>
      </c>
      <c r="C289" s="1">
        <v>18</v>
      </c>
      <c r="D289" s="1" t="s">
        <v>7</v>
      </c>
      <c r="E289" t="s">
        <v>38</v>
      </c>
    </row>
    <row r="290" spans="1:5" ht="13.2" x14ac:dyDescent="0.25">
      <c r="A290" s="1">
        <v>2289</v>
      </c>
      <c r="B290" s="1">
        <v>1110</v>
      </c>
      <c r="C290" s="1">
        <v>273</v>
      </c>
      <c r="D290" s="1" t="s">
        <v>9</v>
      </c>
      <c r="E290" t="s">
        <v>38</v>
      </c>
    </row>
    <row r="291" spans="1:5" ht="13.2" x14ac:dyDescent="0.25">
      <c r="A291" s="1">
        <v>2290</v>
      </c>
      <c r="B291" s="1">
        <v>1422</v>
      </c>
      <c r="C291" s="1">
        <v>282</v>
      </c>
      <c r="D291" s="1" t="s">
        <v>7</v>
      </c>
      <c r="E291" t="s">
        <v>42</v>
      </c>
    </row>
    <row r="292" spans="1:5" ht="13.2" x14ac:dyDescent="0.25">
      <c r="A292" s="1">
        <v>2291</v>
      </c>
      <c r="B292" s="1">
        <v>1475</v>
      </c>
      <c r="C292" s="1">
        <v>419</v>
      </c>
      <c r="D292" s="1" t="s">
        <v>25</v>
      </c>
      <c r="E292" t="s">
        <v>40</v>
      </c>
    </row>
    <row r="293" spans="1:5" ht="13.2" x14ac:dyDescent="0.25">
      <c r="A293" s="1">
        <v>2292</v>
      </c>
      <c r="B293" s="1">
        <v>1365</v>
      </c>
      <c r="C293" s="1">
        <v>38</v>
      </c>
      <c r="D293" s="1" t="s">
        <v>9</v>
      </c>
      <c r="E293" t="s">
        <v>41</v>
      </c>
    </row>
    <row r="294" spans="1:5" ht="13.2" x14ac:dyDescent="0.25">
      <c r="A294" s="1">
        <v>2293</v>
      </c>
      <c r="B294" s="1">
        <v>1222</v>
      </c>
      <c r="C294" s="1">
        <v>492</v>
      </c>
      <c r="D294" s="1" t="s">
        <v>14</v>
      </c>
      <c r="E294" t="s">
        <v>41</v>
      </c>
    </row>
    <row r="295" spans="1:5" ht="13.2" x14ac:dyDescent="0.25">
      <c r="A295" s="1">
        <v>2294</v>
      </c>
      <c r="B295" s="1">
        <v>1390</v>
      </c>
      <c r="C295" s="1">
        <v>175</v>
      </c>
      <c r="D295" s="1" t="s">
        <v>7</v>
      </c>
      <c r="E295" t="s">
        <v>42</v>
      </c>
    </row>
    <row r="296" spans="1:5" ht="13.2" x14ac:dyDescent="0.25">
      <c r="A296" s="1">
        <v>2295</v>
      </c>
      <c r="B296" s="1">
        <v>1417</v>
      </c>
      <c r="C296" s="1">
        <v>190</v>
      </c>
      <c r="D296" s="1" t="s">
        <v>14</v>
      </c>
      <c r="E296" t="s">
        <v>39</v>
      </c>
    </row>
    <row r="297" spans="1:5" ht="13.2" x14ac:dyDescent="0.25">
      <c r="A297" s="1">
        <v>2296</v>
      </c>
      <c r="B297" s="1">
        <v>1133</v>
      </c>
      <c r="C297" s="1">
        <v>155</v>
      </c>
      <c r="D297" s="1" t="s">
        <v>14</v>
      </c>
      <c r="E297" t="s">
        <v>39</v>
      </c>
    </row>
    <row r="298" spans="1:5" ht="13.2" x14ac:dyDescent="0.25">
      <c r="A298" s="1">
        <v>2297</v>
      </c>
      <c r="B298" s="1">
        <v>1009</v>
      </c>
      <c r="C298" s="1">
        <v>10</v>
      </c>
      <c r="D298" s="1" t="s">
        <v>12</v>
      </c>
      <c r="E298" t="s">
        <v>41</v>
      </c>
    </row>
    <row r="299" spans="1:5" ht="13.2" x14ac:dyDescent="0.25">
      <c r="A299" s="1">
        <v>2298</v>
      </c>
      <c r="B299" s="1">
        <v>1178</v>
      </c>
      <c r="C299" s="1">
        <v>86</v>
      </c>
      <c r="D299" s="1" t="s">
        <v>7</v>
      </c>
      <c r="E299" t="s">
        <v>42</v>
      </c>
    </row>
    <row r="300" spans="1:5" ht="13.2" x14ac:dyDescent="0.25">
      <c r="A300" s="1">
        <v>2299</v>
      </c>
      <c r="B300" s="1">
        <v>1407</v>
      </c>
      <c r="C300" s="1">
        <v>431</v>
      </c>
      <c r="D300" s="1" t="s">
        <v>12</v>
      </c>
      <c r="E300" t="s">
        <v>42</v>
      </c>
    </row>
    <row r="301" spans="1:5" ht="13.2" x14ac:dyDescent="0.25">
      <c r="A301" s="1">
        <v>2300</v>
      </c>
      <c r="B301" s="1">
        <v>1458</v>
      </c>
      <c r="C301" s="1">
        <v>235</v>
      </c>
      <c r="D301" s="1" t="s">
        <v>14</v>
      </c>
      <c r="E301" t="s">
        <v>42</v>
      </c>
    </row>
    <row r="302" spans="1:5" ht="13.2" x14ac:dyDescent="0.25">
      <c r="A302" s="1">
        <v>2301</v>
      </c>
      <c r="B302" s="1">
        <v>1387</v>
      </c>
      <c r="C302" s="1">
        <v>458</v>
      </c>
      <c r="D302" s="1" t="s">
        <v>7</v>
      </c>
      <c r="E302" t="s">
        <v>40</v>
      </c>
    </row>
    <row r="303" spans="1:5" ht="13.2" x14ac:dyDescent="0.25">
      <c r="A303" s="1">
        <v>2302</v>
      </c>
      <c r="B303" s="1">
        <v>1491</v>
      </c>
      <c r="C303" s="1">
        <v>363</v>
      </c>
      <c r="D303" s="1" t="s">
        <v>25</v>
      </c>
      <c r="E303" t="s">
        <v>42</v>
      </c>
    </row>
    <row r="304" spans="1:5" ht="13.2" x14ac:dyDescent="0.25">
      <c r="A304" s="1">
        <v>2303</v>
      </c>
      <c r="B304" s="1">
        <v>1418</v>
      </c>
      <c r="C304" s="1">
        <v>433</v>
      </c>
      <c r="D304" s="1" t="s">
        <v>9</v>
      </c>
      <c r="E304" t="s">
        <v>41</v>
      </c>
    </row>
    <row r="305" spans="1:5" ht="13.2" x14ac:dyDescent="0.25">
      <c r="A305" s="1">
        <v>2304</v>
      </c>
      <c r="B305" s="1">
        <v>1320</v>
      </c>
      <c r="C305" s="1">
        <v>361</v>
      </c>
      <c r="D305" s="1" t="s">
        <v>9</v>
      </c>
      <c r="E305" t="s">
        <v>39</v>
      </c>
    </row>
    <row r="306" spans="1:5" ht="13.2" x14ac:dyDescent="0.25">
      <c r="A306" s="1">
        <v>2305</v>
      </c>
      <c r="B306" s="1">
        <v>1002</v>
      </c>
      <c r="C306" s="1">
        <v>13</v>
      </c>
      <c r="D306" s="1" t="s">
        <v>9</v>
      </c>
      <c r="E306" t="s">
        <v>41</v>
      </c>
    </row>
    <row r="307" spans="1:5" ht="13.2" x14ac:dyDescent="0.25">
      <c r="A307" s="1">
        <v>2306</v>
      </c>
      <c r="B307" s="1">
        <v>1446</v>
      </c>
      <c r="C307" s="1">
        <v>293</v>
      </c>
      <c r="D307" s="1" t="s">
        <v>12</v>
      </c>
      <c r="E307" t="s">
        <v>38</v>
      </c>
    </row>
    <row r="308" spans="1:5" ht="13.2" x14ac:dyDescent="0.25">
      <c r="A308" s="1">
        <v>2307</v>
      </c>
      <c r="B308" s="1">
        <v>1485</v>
      </c>
      <c r="C308" s="1">
        <v>258</v>
      </c>
      <c r="D308" s="1" t="s">
        <v>25</v>
      </c>
      <c r="E308" t="s">
        <v>40</v>
      </c>
    </row>
    <row r="309" spans="1:5" ht="13.2" x14ac:dyDescent="0.25">
      <c r="A309" s="1">
        <v>2308</v>
      </c>
      <c r="B309" s="1">
        <v>1125</v>
      </c>
      <c r="C309" s="1">
        <v>67</v>
      </c>
      <c r="D309" s="1" t="s">
        <v>7</v>
      </c>
      <c r="E309" t="s">
        <v>39</v>
      </c>
    </row>
    <row r="310" spans="1:5" ht="13.2" x14ac:dyDescent="0.25">
      <c r="A310" s="1">
        <v>2309</v>
      </c>
      <c r="B310" s="1">
        <v>1100</v>
      </c>
      <c r="C310" s="1">
        <v>282</v>
      </c>
      <c r="D310" s="1" t="s">
        <v>7</v>
      </c>
      <c r="E310" t="s">
        <v>39</v>
      </c>
    </row>
    <row r="311" spans="1:5" ht="13.2" x14ac:dyDescent="0.25">
      <c r="A311" s="1">
        <v>2310</v>
      </c>
      <c r="B311" s="1">
        <v>1016</v>
      </c>
      <c r="C311" s="1">
        <v>354</v>
      </c>
      <c r="D311" s="1" t="s">
        <v>9</v>
      </c>
      <c r="E311" t="s">
        <v>39</v>
      </c>
    </row>
    <row r="312" spans="1:5" ht="13.2" x14ac:dyDescent="0.25">
      <c r="A312" s="1">
        <v>2311</v>
      </c>
      <c r="B312" s="1">
        <v>1272</v>
      </c>
      <c r="C312" s="1">
        <v>195</v>
      </c>
      <c r="D312" s="1" t="s">
        <v>7</v>
      </c>
      <c r="E312" t="s">
        <v>39</v>
      </c>
    </row>
    <row r="313" spans="1:5" ht="13.2" x14ac:dyDescent="0.25">
      <c r="A313" s="1">
        <v>2312</v>
      </c>
      <c r="B313" s="1">
        <v>1332</v>
      </c>
      <c r="C313" s="1">
        <v>190</v>
      </c>
      <c r="D313" s="1" t="s">
        <v>25</v>
      </c>
      <c r="E313" t="s">
        <v>42</v>
      </c>
    </row>
    <row r="314" spans="1:5" ht="13.2" x14ac:dyDescent="0.25">
      <c r="A314" s="1">
        <v>2313</v>
      </c>
      <c r="B314" s="1">
        <v>1466</v>
      </c>
      <c r="C314" s="1">
        <v>192</v>
      </c>
      <c r="D314" s="1" t="s">
        <v>7</v>
      </c>
      <c r="E314" t="s">
        <v>39</v>
      </c>
    </row>
    <row r="315" spans="1:5" ht="13.2" x14ac:dyDescent="0.25">
      <c r="A315" s="1">
        <v>2314</v>
      </c>
      <c r="B315" s="1">
        <v>1328</v>
      </c>
      <c r="C315" s="1">
        <v>90</v>
      </c>
      <c r="D315" s="1" t="s">
        <v>9</v>
      </c>
      <c r="E315" t="s">
        <v>41</v>
      </c>
    </row>
    <row r="316" spans="1:5" ht="13.2" x14ac:dyDescent="0.25">
      <c r="A316" s="1">
        <v>2315</v>
      </c>
      <c r="B316" s="1">
        <v>1170</v>
      </c>
      <c r="C316" s="1">
        <v>217</v>
      </c>
      <c r="D316" s="1" t="s">
        <v>7</v>
      </c>
      <c r="E316" t="s">
        <v>39</v>
      </c>
    </row>
    <row r="317" spans="1:5" ht="13.2" x14ac:dyDescent="0.25">
      <c r="A317" s="1">
        <v>2316</v>
      </c>
      <c r="B317" s="1">
        <v>1444</v>
      </c>
      <c r="C317" s="1">
        <v>197</v>
      </c>
      <c r="D317" s="1" t="s">
        <v>25</v>
      </c>
      <c r="E317" t="s">
        <v>41</v>
      </c>
    </row>
    <row r="318" spans="1:5" ht="13.2" x14ac:dyDescent="0.25">
      <c r="A318" s="1">
        <v>2317</v>
      </c>
      <c r="B318" s="1">
        <v>1176</v>
      </c>
      <c r="C318" s="1">
        <v>71</v>
      </c>
      <c r="D318" s="1" t="s">
        <v>25</v>
      </c>
      <c r="E318" t="s">
        <v>39</v>
      </c>
    </row>
    <row r="319" spans="1:5" ht="13.2" x14ac:dyDescent="0.25">
      <c r="A319" s="1">
        <v>2318</v>
      </c>
      <c r="B319" s="1">
        <v>1449</v>
      </c>
      <c r="C319" s="1">
        <v>96</v>
      </c>
      <c r="D319" s="1" t="s">
        <v>9</v>
      </c>
      <c r="E319" t="s">
        <v>39</v>
      </c>
    </row>
    <row r="320" spans="1:5" ht="13.2" x14ac:dyDescent="0.25">
      <c r="A320" s="1">
        <v>2319</v>
      </c>
      <c r="B320" s="1">
        <v>1340</v>
      </c>
      <c r="C320" s="1">
        <v>210</v>
      </c>
      <c r="D320" s="1" t="s">
        <v>12</v>
      </c>
      <c r="E320" t="s">
        <v>38</v>
      </c>
    </row>
    <row r="321" spans="1:5" ht="13.2" x14ac:dyDescent="0.25">
      <c r="A321" s="1">
        <v>2320</v>
      </c>
      <c r="B321" s="1">
        <v>1326</v>
      </c>
      <c r="C321" s="1">
        <v>417</v>
      </c>
      <c r="D321" s="1" t="s">
        <v>9</v>
      </c>
      <c r="E321" t="s">
        <v>40</v>
      </c>
    </row>
    <row r="322" spans="1:5" ht="13.2" x14ac:dyDescent="0.25">
      <c r="A322" s="1">
        <v>2321</v>
      </c>
      <c r="B322" s="1">
        <v>1373</v>
      </c>
      <c r="C322" s="1">
        <v>387</v>
      </c>
      <c r="D322" s="1" t="s">
        <v>12</v>
      </c>
      <c r="E322" t="s">
        <v>38</v>
      </c>
    </row>
    <row r="323" spans="1:5" ht="13.2" x14ac:dyDescent="0.25">
      <c r="A323" s="1">
        <v>2322</v>
      </c>
      <c r="B323" s="1">
        <v>1115</v>
      </c>
      <c r="C323" s="1">
        <v>280</v>
      </c>
      <c r="D323" s="1" t="s">
        <v>25</v>
      </c>
      <c r="E323" t="s">
        <v>40</v>
      </c>
    </row>
    <row r="324" spans="1:5" ht="13.2" x14ac:dyDescent="0.25">
      <c r="A324" s="1">
        <v>2323</v>
      </c>
      <c r="B324" s="1">
        <v>1219</v>
      </c>
      <c r="C324" s="1">
        <v>82</v>
      </c>
      <c r="D324" s="1" t="s">
        <v>12</v>
      </c>
      <c r="E324" t="s">
        <v>40</v>
      </c>
    </row>
    <row r="325" spans="1:5" ht="13.2" x14ac:dyDescent="0.25">
      <c r="A325" s="1">
        <v>2324</v>
      </c>
      <c r="B325" s="1">
        <v>1190</v>
      </c>
      <c r="C325" s="1">
        <v>305</v>
      </c>
      <c r="D325" s="1" t="s">
        <v>25</v>
      </c>
      <c r="E325" t="s">
        <v>40</v>
      </c>
    </row>
    <row r="326" spans="1:5" ht="13.2" x14ac:dyDescent="0.25">
      <c r="A326" s="1">
        <v>2325</v>
      </c>
      <c r="B326" s="1">
        <v>1088</v>
      </c>
      <c r="C326" s="1">
        <v>113</v>
      </c>
      <c r="D326" s="1" t="s">
        <v>7</v>
      </c>
      <c r="E326" t="s">
        <v>40</v>
      </c>
    </row>
    <row r="327" spans="1:5" ht="13.2" x14ac:dyDescent="0.25">
      <c r="A327" s="1">
        <v>2326</v>
      </c>
      <c r="B327" s="1">
        <v>1399</v>
      </c>
      <c r="C327" s="1">
        <v>322</v>
      </c>
      <c r="D327" s="1" t="s">
        <v>9</v>
      </c>
      <c r="E327" t="s">
        <v>42</v>
      </c>
    </row>
    <row r="328" spans="1:5" ht="13.2" x14ac:dyDescent="0.25">
      <c r="A328" s="1">
        <v>2327</v>
      </c>
      <c r="B328" s="1">
        <v>1115</v>
      </c>
      <c r="C328" s="1">
        <v>92</v>
      </c>
      <c r="D328" s="1" t="s">
        <v>14</v>
      </c>
      <c r="E328" t="s">
        <v>41</v>
      </c>
    </row>
    <row r="329" spans="1:5" ht="13.2" x14ac:dyDescent="0.25">
      <c r="A329" s="1">
        <v>2328</v>
      </c>
      <c r="B329" s="1">
        <v>1369</v>
      </c>
      <c r="C329" s="1">
        <v>336</v>
      </c>
      <c r="D329" s="1" t="s">
        <v>12</v>
      </c>
      <c r="E329" t="s">
        <v>42</v>
      </c>
    </row>
    <row r="330" spans="1:5" ht="13.2" x14ac:dyDescent="0.25">
      <c r="A330" s="1">
        <v>2329</v>
      </c>
      <c r="B330" s="1">
        <v>1125</v>
      </c>
      <c r="C330" s="1">
        <v>368</v>
      </c>
      <c r="D330" s="1" t="s">
        <v>7</v>
      </c>
      <c r="E330" t="s">
        <v>40</v>
      </c>
    </row>
    <row r="331" spans="1:5" ht="13.2" x14ac:dyDescent="0.25">
      <c r="A331" s="1">
        <v>2330</v>
      </c>
      <c r="B331" s="1">
        <v>1152</v>
      </c>
      <c r="C331" s="1">
        <v>29</v>
      </c>
      <c r="D331" s="1" t="s">
        <v>25</v>
      </c>
      <c r="E331" t="s">
        <v>42</v>
      </c>
    </row>
    <row r="332" spans="1:5" ht="13.2" x14ac:dyDescent="0.25">
      <c r="A332" s="1">
        <v>2331</v>
      </c>
      <c r="B332" s="1">
        <v>1053</v>
      </c>
      <c r="C332" s="1">
        <v>272</v>
      </c>
      <c r="D332" s="1" t="s">
        <v>12</v>
      </c>
      <c r="E332" t="s">
        <v>39</v>
      </c>
    </row>
    <row r="333" spans="1:5" ht="13.2" x14ac:dyDescent="0.25">
      <c r="A333" s="1">
        <v>2332</v>
      </c>
      <c r="B333" s="1">
        <v>1294</v>
      </c>
      <c r="C333" s="1">
        <v>157</v>
      </c>
      <c r="D333" s="1" t="s">
        <v>7</v>
      </c>
      <c r="E333" t="s">
        <v>38</v>
      </c>
    </row>
    <row r="334" spans="1:5" ht="13.2" x14ac:dyDescent="0.25">
      <c r="A334" s="1">
        <v>2333</v>
      </c>
      <c r="B334" s="1">
        <v>1433</v>
      </c>
      <c r="C334" s="1">
        <v>150</v>
      </c>
      <c r="D334" s="1" t="s">
        <v>14</v>
      </c>
      <c r="E334" t="s">
        <v>41</v>
      </c>
    </row>
    <row r="335" spans="1:5" ht="13.2" x14ac:dyDescent="0.25">
      <c r="A335" s="1">
        <v>2334</v>
      </c>
      <c r="B335" s="1">
        <v>1457</v>
      </c>
      <c r="C335" s="1">
        <v>251</v>
      </c>
      <c r="D335" s="1" t="s">
        <v>7</v>
      </c>
      <c r="E335" t="s">
        <v>41</v>
      </c>
    </row>
    <row r="336" spans="1:5" ht="13.2" x14ac:dyDescent="0.25">
      <c r="A336" s="1">
        <v>2335</v>
      </c>
      <c r="B336" s="1">
        <v>1010</v>
      </c>
      <c r="C336" s="1">
        <v>251</v>
      </c>
      <c r="D336" s="1" t="s">
        <v>12</v>
      </c>
      <c r="E336" t="s">
        <v>39</v>
      </c>
    </row>
    <row r="337" spans="1:5" ht="13.2" x14ac:dyDescent="0.25">
      <c r="A337" s="1">
        <v>2336</v>
      </c>
      <c r="B337" s="1">
        <v>1252</v>
      </c>
      <c r="C337" s="1">
        <v>251</v>
      </c>
      <c r="D337" s="1" t="s">
        <v>14</v>
      </c>
      <c r="E337" t="s">
        <v>40</v>
      </c>
    </row>
    <row r="338" spans="1:5" ht="13.2" x14ac:dyDescent="0.25">
      <c r="A338" s="1">
        <v>2337</v>
      </c>
      <c r="B338" s="1">
        <v>1325</v>
      </c>
      <c r="C338" s="1">
        <v>497</v>
      </c>
      <c r="D338" s="1" t="s">
        <v>25</v>
      </c>
      <c r="E338" t="s">
        <v>38</v>
      </c>
    </row>
    <row r="339" spans="1:5" ht="13.2" x14ac:dyDescent="0.25">
      <c r="A339" s="1">
        <v>2338</v>
      </c>
      <c r="B339" s="1">
        <v>1343</v>
      </c>
      <c r="C339" s="1">
        <v>434</v>
      </c>
      <c r="D339" s="1" t="s">
        <v>25</v>
      </c>
      <c r="E339" t="s">
        <v>40</v>
      </c>
    </row>
    <row r="340" spans="1:5" ht="13.2" x14ac:dyDescent="0.25">
      <c r="A340" s="1">
        <v>2339</v>
      </c>
      <c r="B340" s="1">
        <v>1138</v>
      </c>
      <c r="C340" s="1">
        <v>128</v>
      </c>
      <c r="D340" s="1" t="s">
        <v>9</v>
      </c>
      <c r="E340" t="s">
        <v>40</v>
      </c>
    </row>
    <row r="341" spans="1:5" ht="13.2" x14ac:dyDescent="0.25">
      <c r="A341" s="1">
        <v>2340</v>
      </c>
      <c r="B341" s="1">
        <v>1073</v>
      </c>
      <c r="C341" s="1">
        <v>223</v>
      </c>
      <c r="D341" s="1" t="s">
        <v>25</v>
      </c>
      <c r="E341" t="s">
        <v>40</v>
      </c>
    </row>
    <row r="342" spans="1:5" ht="13.2" x14ac:dyDescent="0.25">
      <c r="A342" s="1">
        <v>2341</v>
      </c>
      <c r="B342" s="1">
        <v>1036</v>
      </c>
      <c r="C342" s="1">
        <v>431</v>
      </c>
      <c r="D342" s="1" t="s">
        <v>25</v>
      </c>
      <c r="E342" t="s">
        <v>39</v>
      </c>
    </row>
    <row r="343" spans="1:5" ht="13.2" x14ac:dyDescent="0.25">
      <c r="A343" s="1">
        <v>2342</v>
      </c>
      <c r="B343" s="1">
        <v>1179</v>
      </c>
      <c r="C343" s="1">
        <v>435</v>
      </c>
      <c r="D343" s="1" t="s">
        <v>7</v>
      </c>
      <c r="E343" t="s">
        <v>38</v>
      </c>
    </row>
    <row r="344" spans="1:5" ht="13.2" x14ac:dyDescent="0.25">
      <c r="A344" s="1">
        <v>2343</v>
      </c>
      <c r="B344" s="1">
        <v>1420</v>
      </c>
      <c r="C344" s="1">
        <v>366</v>
      </c>
      <c r="D344" s="1" t="s">
        <v>14</v>
      </c>
      <c r="E344" t="s">
        <v>42</v>
      </c>
    </row>
    <row r="345" spans="1:5" ht="13.2" x14ac:dyDescent="0.25">
      <c r="A345" s="1">
        <v>2344</v>
      </c>
      <c r="B345" s="1">
        <v>1399</v>
      </c>
      <c r="C345" s="1">
        <v>324</v>
      </c>
      <c r="D345" s="1" t="s">
        <v>9</v>
      </c>
      <c r="E345" t="s">
        <v>42</v>
      </c>
    </row>
    <row r="346" spans="1:5" ht="13.2" x14ac:dyDescent="0.25">
      <c r="A346" s="1">
        <v>2345</v>
      </c>
      <c r="B346" s="1">
        <v>1372</v>
      </c>
      <c r="C346" s="1">
        <v>378</v>
      </c>
      <c r="D346" s="1" t="s">
        <v>14</v>
      </c>
      <c r="E346" t="s">
        <v>38</v>
      </c>
    </row>
    <row r="347" spans="1:5" ht="13.2" x14ac:dyDescent="0.25">
      <c r="A347" s="1">
        <v>2346</v>
      </c>
      <c r="B347" s="1">
        <v>1378</v>
      </c>
      <c r="C347" s="1">
        <v>79</v>
      </c>
      <c r="D347" s="1" t="s">
        <v>12</v>
      </c>
      <c r="E347" t="s">
        <v>40</v>
      </c>
    </row>
    <row r="348" spans="1:5" ht="13.2" x14ac:dyDescent="0.25">
      <c r="A348" s="1">
        <v>2347</v>
      </c>
      <c r="B348" s="1">
        <v>1347</v>
      </c>
      <c r="C348" s="1">
        <v>74</v>
      </c>
      <c r="D348" s="1" t="s">
        <v>9</v>
      </c>
      <c r="E348" t="s">
        <v>40</v>
      </c>
    </row>
    <row r="349" spans="1:5" ht="13.2" x14ac:dyDescent="0.25">
      <c r="A349" s="1">
        <v>2348</v>
      </c>
      <c r="B349" s="1">
        <v>1443</v>
      </c>
      <c r="C349" s="1">
        <v>406</v>
      </c>
      <c r="D349" s="1" t="s">
        <v>9</v>
      </c>
      <c r="E349" t="s">
        <v>38</v>
      </c>
    </row>
    <row r="350" spans="1:5" ht="13.2" x14ac:dyDescent="0.25">
      <c r="A350" s="1">
        <v>2349</v>
      </c>
      <c r="B350" s="1">
        <v>1146</v>
      </c>
      <c r="C350" s="1">
        <v>151</v>
      </c>
      <c r="D350" s="1" t="s">
        <v>14</v>
      </c>
      <c r="E350" t="s">
        <v>41</v>
      </c>
    </row>
    <row r="351" spans="1:5" ht="13.2" x14ac:dyDescent="0.25">
      <c r="A351" s="1">
        <v>2350</v>
      </c>
      <c r="B351" s="1">
        <v>1076</v>
      </c>
      <c r="C351" s="1">
        <v>402</v>
      </c>
      <c r="D351" s="1" t="s">
        <v>7</v>
      </c>
      <c r="E351" t="s">
        <v>40</v>
      </c>
    </row>
    <row r="352" spans="1:5" ht="13.2" x14ac:dyDescent="0.25">
      <c r="A352" s="1">
        <v>2351</v>
      </c>
      <c r="B352" s="1">
        <v>1330</v>
      </c>
      <c r="C352" s="1">
        <v>162</v>
      </c>
      <c r="D352" s="1" t="s">
        <v>9</v>
      </c>
      <c r="E352" t="s">
        <v>41</v>
      </c>
    </row>
    <row r="353" spans="1:5" ht="13.2" x14ac:dyDescent="0.25">
      <c r="A353" s="1">
        <v>2352</v>
      </c>
      <c r="B353" s="1">
        <v>1272</v>
      </c>
      <c r="C353" s="1">
        <v>182</v>
      </c>
      <c r="D353" s="1" t="s">
        <v>14</v>
      </c>
      <c r="E353" t="s">
        <v>38</v>
      </c>
    </row>
    <row r="354" spans="1:5" ht="13.2" x14ac:dyDescent="0.25">
      <c r="A354" s="1">
        <v>2353</v>
      </c>
      <c r="B354" s="1">
        <v>1392</v>
      </c>
      <c r="C354" s="1">
        <v>297</v>
      </c>
      <c r="D354" s="1" t="s">
        <v>25</v>
      </c>
      <c r="E354" t="s">
        <v>40</v>
      </c>
    </row>
    <row r="355" spans="1:5" ht="13.2" x14ac:dyDescent="0.25">
      <c r="A355" s="1">
        <v>2354</v>
      </c>
      <c r="B355" s="1">
        <v>1492</v>
      </c>
      <c r="C355" s="1">
        <v>464</v>
      </c>
      <c r="D355" s="1" t="s">
        <v>7</v>
      </c>
      <c r="E355" t="s">
        <v>42</v>
      </c>
    </row>
    <row r="356" spans="1:5" ht="13.2" x14ac:dyDescent="0.25">
      <c r="A356" s="1">
        <v>2355</v>
      </c>
      <c r="B356" s="1">
        <v>1182</v>
      </c>
      <c r="C356" s="1">
        <v>453</v>
      </c>
      <c r="D356" s="1" t="s">
        <v>7</v>
      </c>
      <c r="E356" t="s">
        <v>39</v>
      </c>
    </row>
    <row r="357" spans="1:5" ht="13.2" x14ac:dyDescent="0.25">
      <c r="A357" s="1">
        <v>2356</v>
      </c>
      <c r="B357" s="1">
        <v>1485</v>
      </c>
      <c r="C357" s="1">
        <v>206</v>
      </c>
      <c r="D357" s="1" t="s">
        <v>25</v>
      </c>
      <c r="E357" t="s">
        <v>42</v>
      </c>
    </row>
    <row r="358" spans="1:5" ht="13.2" x14ac:dyDescent="0.25">
      <c r="A358" s="1">
        <v>2357</v>
      </c>
      <c r="B358" s="1">
        <v>1420</v>
      </c>
      <c r="C358" s="1">
        <v>378</v>
      </c>
      <c r="D358" s="1" t="s">
        <v>14</v>
      </c>
      <c r="E358" t="s">
        <v>39</v>
      </c>
    </row>
    <row r="359" spans="1:5" ht="13.2" x14ac:dyDescent="0.25">
      <c r="A359" s="1">
        <v>2358</v>
      </c>
      <c r="B359" s="1">
        <v>1101</v>
      </c>
      <c r="C359" s="1">
        <v>364</v>
      </c>
      <c r="D359" s="1" t="s">
        <v>7</v>
      </c>
      <c r="E359" t="s">
        <v>38</v>
      </c>
    </row>
    <row r="360" spans="1:5" ht="13.2" x14ac:dyDescent="0.25">
      <c r="A360" s="1">
        <v>2359</v>
      </c>
      <c r="B360" s="1">
        <v>1144</v>
      </c>
      <c r="C360" s="1">
        <v>188</v>
      </c>
      <c r="D360" s="1" t="s">
        <v>25</v>
      </c>
      <c r="E360" t="s">
        <v>42</v>
      </c>
    </row>
    <row r="361" spans="1:5" ht="13.2" x14ac:dyDescent="0.25">
      <c r="A361" s="1">
        <v>2360</v>
      </c>
      <c r="B361" s="1">
        <v>1307</v>
      </c>
      <c r="C361" s="1">
        <v>142</v>
      </c>
      <c r="D361" s="1" t="s">
        <v>14</v>
      </c>
      <c r="E361" t="s">
        <v>42</v>
      </c>
    </row>
    <row r="362" spans="1:5" ht="13.2" x14ac:dyDescent="0.25">
      <c r="A362" s="1">
        <v>2361</v>
      </c>
      <c r="B362" s="1">
        <v>1441</v>
      </c>
      <c r="C362" s="1">
        <v>235</v>
      </c>
      <c r="D362" s="1" t="s">
        <v>9</v>
      </c>
      <c r="E362" t="s">
        <v>41</v>
      </c>
    </row>
    <row r="363" spans="1:5" ht="13.2" x14ac:dyDescent="0.25">
      <c r="A363" s="1">
        <v>2362</v>
      </c>
      <c r="B363" s="1">
        <v>1477</v>
      </c>
      <c r="C363" s="1">
        <v>383</v>
      </c>
      <c r="D363" s="1" t="s">
        <v>25</v>
      </c>
      <c r="E363" t="s">
        <v>42</v>
      </c>
    </row>
    <row r="364" spans="1:5" ht="13.2" x14ac:dyDescent="0.25">
      <c r="A364" s="1">
        <v>2363</v>
      </c>
      <c r="B364" s="1">
        <v>1237</v>
      </c>
      <c r="C364" s="1">
        <v>339</v>
      </c>
      <c r="D364" s="1" t="s">
        <v>7</v>
      </c>
      <c r="E364" t="s">
        <v>38</v>
      </c>
    </row>
    <row r="365" spans="1:5" ht="13.2" x14ac:dyDescent="0.25">
      <c r="A365" s="1">
        <v>2364</v>
      </c>
      <c r="B365" s="1">
        <v>1389</v>
      </c>
      <c r="C365" s="1">
        <v>374</v>
      </c>
      <c r="D365" s="1" t="s">
        <v>7</v>
      </c>
      <c r="E365" t="s">
        <v>40</v>
      </c>
    </row>
    <row r="366" spans="1:5" ht="13.2" x14ac:dyDescent="0.25">
      <c r="A366" s="1">
        <v>2365</v>
      </c>
      <c r="B366" s="1">
        <v>1224</v>
      </c>
      <c r="C366" s="1">
        <v>93</v>
      </c>
      <c r="D366" s="1" t="s">
        <v>25</v>
      </c>
      <c r="E366" t="s">
        <v>38</v>
      </c>
    </row>
    <row r="367" spans="1:5" ht="13.2" x14ac:dyDescent="0.25">
      <c r="A367" s="1">
        <v>2366</v>
      </c>
      <c r="B367" s="1">
        <v>1300</v>
      </c>
      <c r="C367" s="1">
        <v>166</v>
      </c>
      <c r="D367" s="1" t="s">
        <v>14</v>
      </c>
      <c r="E367" t="s">
        <v>42</v>
      </c>
    </row>
    <row r="368" spans="1:5" ht="13.2" x14ac:dyDescent="0.25">
      <c r="A368" s="1">
        <v>2367</v>
      </c>
      <c r="B368" s="1">
        <v>1305</v>
      </c>
      <c r="C368" s="1">
        <v>478</v>
      </c>
      <c r="D368" s="1" t="s">
        <v>9</v>
      </c>
      <c r="E368" t="s">
        <v>42</v>
      </c>
    </row>
    <row r="369" spans="1:5" ht="13.2" x14ac:dyDescent="0.25">
      <c r="A369" s="1">
        <v>2368</v>
      </c>
      <c r="B369" s="1">
        <v>1191</v>
      </c>
      <c r="C369" s="1">
        <v>361</v>
      </c>
      <c r="D369" s="1" t="s">
        <v>12</v>
      </c>
      <c r="E369" t="s">
        <v>38</v>
      </c>
    </row>
    <row r="370" spans="1:5" ht="13.2" x14ac:dyDescent="0.25">
      <c r="A370" s="1">
        <v>2369</v>
      </c>
      <c r="B370" s="1">
        <v>1354</v>
      </c>
      <c r="C370" s="1">
        <v>369</v>
      </c>
      <c r="D370" s="1" t="s">
        <v>7</v>
      </c>
      <c r="E370" t="s">
        <v>42</v>
      </c>
    </row>
    <row r="371" spans="1:5" ht="13.2" x14ac:dyDescent="0.25">
      <c r="A371" s="1">
        <v>2370</v>
      </c>
      <c r="B371" s="1">
        <v>1317</v>
      </c>
      <c r="C371" s="1">
        <v>500</v>
      </c>
      <c r="D371" s="1" t="s">
        <v>12</v>
      </c>
      <c r="E371" t="s">
        <v>42</v>
      </c>
    </row>
    <row r="372" spans="1:5" ht="13.2" x14ac:dyDescent="0.25">
      <c r="A372" s="1">
        <v>2371</v>
      </c>
      <c r="B372" s="1">
        <v>1314</v>
      </c>
      <c r="C372" s="1">
        <v>443</v>
      </c>
      <c r="D372" s="1" t="s">
        <v>14</v>
      </c>
      <c r="E372" t="s">
        <v>40</v>
      </c>
    </row>
    <row r="373" spans="1:5" ht="13.2" x14ac:dyDescent="0.25">
      <c r="A373" s="1">
        <v>2372</v>
      </c>
      <c r="B373" s="1">
        <v>1337</v>
      </c>
      <c r="C373" s="1">
        <v>386</v>
      </c>
      <c r="D373" s="1" t="s">
        <v>14</v>
      </c>
      <c r="E373" t="s">
        <v>41</v>
      </c>
    </row>
    <row r="374" spans="1:5" ht="13.2" x14ac:dyDescent="0.25">
      <c r="A374" s="1">
        <v>2373</v>
      </c>
      <c r="B374" s="1">
        <v>1171</v>
      </c>
      <c r="C374" s="1">
        <v>178</v>
      </c>
      <c r="D374" s="1" t="s">
        <v>7</v>
      </c>
      <c r="E374" t="s">
        <v>39</v>
      </c>
    </row>
    <row r="375" spans="1:5" ht="13.2" x14ac:dyDescent="0.25">
      <c r="A375" s="1">
        <v>2374</v>
      </c>
      <c r="B375" s="1">
        <v>1076</v>
      </c>
      <c r="C375" s="1">
        <v>280</v>
      </c>
      <c r="D375" s="1" t="s">
        <v>12</v>
      </c>
      <c r="E375" t="s">
        <v>40</v>
      </c>
    </row>
    <row r="376" spans="1:5" ht="13.2" x14ac:dyDescent="0.25">
      <c r="A376" s="1">
        <v>2375</v>
      </c>
      <c r="B376" s="1">
        <v>1171</v>
      </c>
      <c r="C376" s="1">
        <v>337</v>
      </c>
      <c r="D376" s="1" t="s">
        <v>25</v>
      </c>
      <c r="E376" t="s">
        <v>38</v>
      </c>
    </row>
    <row r="377" spans="1:5" ht="13.2" x14ac:dyDescent="0.25">
      <c r="A377" s="1">
        <v>2376</v>
      </c>
      <c r="B377" s="1">
        <v>1040</v>
      </c>
      <c r="C377" s="1">
        <v>478</v>
      </c>
      <c r="D377" s="1" t="s">
        <v>12</v>
      </c>
      <c r="E377" t="s">
        <v>38</v>
      </c>
    </row>
    <row r="378" spans="1:5" ht="13.2" x14ac:dyDescent="0.25">
      <c r="A378" s="1">
        <v>2377</v>
      </c>
      <c r="B378" s="1">
        <v>1172</v>
      </c>
      <c r="C378" s="1">
        <v>448</v>
      </c>
      <c r="D378" s="1" t="s">
        <v>9</v>
      </c>
      <c r="E378" t="s">
        <v>42</v>
      </c>
    </row>
    <row r="379" spans="1:5" ht="13.2" x14ac:dyDescent="0.25">
      <c r="A379" s="1">
        <v>2378</v>
      </c>
      <c r="B379" s="1">
        <v>1457</v>
      </c>
      <c r="C379" s="1">
        <v>25</v>
      </c>
      <c r="D379" s="1" t="s">
        <v>14</v>
      </c>
      <c r="E379" t="s">
        <v>41</v>
      </c>
    </row>
    <row r="380" spans="1:5" ht="13.2" x14ac:dyDescent="0.25">
      <c r="A380" s="1">
        <v>2379</v>
      </c>
      <c r="B380" s="1">
        <v>1056</v>
      </c>
      <c r="C380" s="1">
        <v>13</v>
      </c>
      <c r="D380" s="1" t="s">
        <v>12</v>
      </c>
      <c r="E380" t="s">
        <v>42</v>
      </c>
    </row>
    <row r="381" spans="1:5" ht="13.2" x14ac:dyDescent="0.25">
      <c r="A381" s="1">
        <v>2380</v>
      </c>
      <c r="B381" s="1">
        <v>1265</v>
      </c>
      <c r="C381" s="1">
        <v>197</v>
      </c>
      <c r="D381" s="1" t="s">
        <v>25</v>
      </c>
      <c r="E381" t="s">
        <v>41</v>
      </c>
    </row>
    <row r="382" spans="1:5" ht="13.2" x14ac:dyDescent="0.25">
      <c r="A382" s="1">
        <v>2381</v>
      </c>
      <c r="B382" s="1">
        <v>1371</v>
      </c>
      <c r="C382" s="1">
        <v>256</v>
      </c>
      <c r="D382" s="1" t="s">
        <v>25</v>
      </c>
      <c r="E382" t="s">
        <v>39</v>
      </c>
    </row>
    <row r="383" spans="1:5" ht="13.2" x14ac:dyDescent="0.25">
      <c r="A383" s="1">
        <v>2382</v>
      </c>
      <c r="B383" s="1">
        <v>1007</v>
      </c>
      <c r="C383" s="1">
        <v>180</v>
      </c>
      <c r="D383" s="1" t="s">
        <v>14</v>
      </c>
      <c r="E383" t="s">
        <v>38</v>
      </c>
    </row>
    <row r="384" spans="1:5" ht="13.2" x14ac:dyDescent="0.25">
      <c r="A384" s="1">
        <v>2383</v>
      </c>
      <c r="B384" s="1">
        <v>1024</v>
      </c>
      <c r="C384" s="1">
        <v>443</v>
      </c>
      <c r="D384" s="1" t="s">
        <v>14</v>
      </c>
      <c r="E384" t="s">
        <v>41</v>
      </c>
    </row>
    <row r="385" spans="1:5" ht="13.2" x14ac:dyDescent="0.25">
      <c r="A385" s="1">
        <v>2384</v>
      </c>
      <c r="B385" s="1">
        <v>1108</v>
      </c>
      <c r="C385" s="1">
        <v>322</v>
      </c>
      <c r="D385" s="1" t="s">
        <v>9</v>
      </c>
      <c r="E385" t="s">
        <v>38</v>
      </c>
    </row>
    <row r="386" spans="1:5" ht="13.2" x14ac:dyDescent="0.25">
      <c r="A386" s="1">
        <v>2385</v>
      </c>
      <c r="B386" s="1">
        <v>1314</v>
      </c>
      <c r="C386" s="1">
        <v>398</v>
      </c>
      <c r="D386" s="1" t="s">
        <v>14</v>
      </c>
      <c r="E386" t="s">
        <v>40</v>
      </c>
    </row>
    <row r="387" spans="1:5" ht="13.2" x14ac:dyDescent="0.25">
      <c r="A387" s="1">
        <v>2386</v>
      </c>
      <c r="B387" s="1">
        <v>1009</v>
      </c>
      <c r="C387" s="1">
        <v>431</v>
      </c>
      <c r="D387" s="1" t="s">
        <v>14</v>
      </c>
      <c r="E387" t="s">
        <v>42</v>
      </c>
    </row>
    <row r="388" spans="1:5" ht="13.2" x14ac:dyDescent="0.25">
      <c r="A388" s="1">
        <v>2387</v>
      </c>
      <c r="B388" s="1">
        <v>1409</v>
      </c>
      <c r="C388" s="1">
        <v>50</v>
      </c>
      <c r="D388" s="1" t="s">
        <v>9</v>
      </c>
      <c r="E388" t="s">
        <v>41</v>
      </c>
    </row>
    <row r="389" spans="1:5" ht="13.2" x14ac:dyDescent="0.25">
      <c r="A389" s="1">
        <v>2388</v>
      </c>
      <c r="B389" s="1">
        <v>1248</v>
      </c>
      <c r="C389" s="1">
        <v>19</v>
      </c>
      <c r="D389" s="1" t="s">
        <v>12</v>
      </c>
      <c r="E389" t="s">
        <v>39</v>
      </c>
    </row>
    <row r="390" spans="1:5" ht="13.2" x14ac:dyDescent="0.25">
      <c r="A390" s="1">
        <v>2389</v>
      </c>
      <c r="B390" s="1">
        <v>1368</v>
      </c>
      <c r="C390" s="1">
        <v>368</v>
      </c>
      <c r="D390" s="1" t="s">
        <v>9</v>
      </c>
      <c r="E390" t="s">
        <v>42</v>
      </c>
    </row>
    <row r="391" spans="1:5" ht="13.2" x14ac:dyDescent="0.25">
      <c r="A391" s="1">
        <v>2390</v>
      </c>
      <c r="B391" s="1">
        <v>1430</v>
      </c>
      <c r="C391" s="1">
        <v>196</v>
      </c>
      <c r="D391" s="1" t="s">
        <v>25</v>
      </c>
      <c r="E391" t="s">
        <v>40</v>
      </c>
    </row>
    <row r="392" spans="1:5" ht="13.2" x14ac:dyDescent="0.25">
      <c r="A392" s="1">
        <v>2391</v>
      </c>
      <c r="B392" s="1">
        <v>1130</v>
      </c>
      <c r="C392" s="1">
        <v>251</v>
      </c>
      <c r="D392" s="1" t="s">
        <v>25</v>
      </c>
      <c r="E392" t="s">
        <v>39</v>
      </c>
    </row>
    <row r="393" spans="1:5" ht="13.2" x14ac:dyDescent="0.25">
      <c r="A393" s="1">
        <v>2392</v>
      </c>
      <c r="B393" s="1">
        <v>1132</v>
      </c>
      <c r="C393" s="1">
        <v>401</v>
      </c>
      <c r="D393" s="1" t="s">
        <v>12</v>
      </c>
      <c r="E393" t="s">
        <v>38</v>
      </c>
    </row>
    <row r="394" spans="1:5" ht="13.2" x14ac:dyDescent="0.25">
      <c r="A394" s="1">
        <v>2393</v>
      </c>
      <c r="B394" s="1">
        <v>1194</v>
      </c>
      <c r="C394" s="1">
        <v>366</v>
      </c>
      <c r="D394" s="1" t="s">
        <v>14</v>
      </c>
      <c r="E394" t="s">
        <v>42</v>
      </c>
    </row>
    <row r="395" spans="1:5" ht="13.2" x14ac:dyDescent="0.25">
      <c r="A395" s="1">
        <v>2394</v>
      </c>
      <c r="B395" s="1">
        <v>1169</v>
      </c>
      <c r="C395" s="1">
        <v>453</v>
      </c>
      <c r="D395" s="1" t="s">
        <v>25</v>
      </c>
      <c r="E395" t="s">
        <v>39</v>
      </c>
    </row>
    <row r="396" spans="1:5" ht="13.2" x14ac:dyDescent="0.25">
      <c r="A396" s="1">
        <v>2395</v>
      </c>
      <c r="B396" s="1">
        <v>1113</v>
      </c>
      <c r="C396" s="1">
        <v>312</v>
      </c>
      <c r="D396" s="1" t="s">
        <v>14</v>
      </c>
      <c r="E396" t="s">
        <v>42</v>
      </c>
    </row>
    <row r="397" spans="1:5" ht="13.2" x14ac:dyDescent="0.25">
      <c r="A397" s="1">
        <v>2396</v>
      </c>
      <c r="B397" s="1">
        <v>1454</v>
      </c>
      <c r="C397" s="1">
        <v>413</v>
      </c>
      <c r="D397" s="1" t="s">
        <v>25</v>
      </c>
      <c r="E397" t="s">
        <v>42</v>
      </c>
    </row>
    <row r="398" spans="1:5" ht="13.2" x14ac:dyDescent="0.25">
      <c r="A398" s="1">
        <v>2397</v>
      </c>
      <c r="B398" s="1">
        <v>1160</v>
      </c>
      <c r="C398" s="1">
        <v>234</v>
      </c>
      <c r="D398" s="1" t="s">
        <v>12</v>
      </c>
      <c r="E398" t="s">
        <v>40</v>
      </c>
    </row>
    <row r="399" spans="1:5" ht="13.2" x14ac:dyDescent="0.25">
      <c r="A399" s="1">
        <v>2398</v>
      </c>
      <c r="B399" s="1">
        <v>1347</v>
      </c>
      <c r="C399" s="1">
        <v>91</v>
      </c>
      <c r="D399" s="1" t="s">
        <v>7</v>
      </c>
      <c r="E399" t="s">
        <v>42</v>
      </c>
    </row>
    <row r="400" spans="1:5" ht="13.2" x14ac:dyDescent="0.25">
      <c r="A400" s="1">
        <v>2399</v>
      </c>
      <c r="B400" s="1">
        <v>1130</v>
      </c>
      <c r="C400" s="1">
        <v>382</v>
      </c>
      <c r="D400" s="1" t="s">
        <v>9</v>
      </c>
      <c r="E400" t="s">
        <v>42</v>
      </c>
    </row>
    <row r="401" spans="1:5" ht="13.2" x14ac:dyDescent="0.25">
      <c r="A401" s="1">
        <v>2400</v>
      </c>
      <c r="B401" s="1">
        <v>1303</v>
      </c>
      <c r="C401" s="1">
        <v>401</v>
      </c>
      <c r="D401" s="1" t="s">
        <v>7</v>
      </c>
      <c r="E401" t="s">
        <v>41</v>
      </c>
    </row>
    <row r="402" spans="1:5" ht="13.2" x14ac:dyDescent="0.25">
      <c r="A402" s="1">
        <v>2401</v>
      </c>
      <c r="B402" s="1">
        <v>1342</v>
      </c>
      <c r="C402" s="1">
        <v>25</v>
      </c>
      <c r="D402" s="1" t="s">
        <v>14</v>
      </c>
      <c r="E402" t="s">
        <v>40</v>
      </c>
    </row>
    <row r="403" spans="1:5" ht="13.2" x14ac:dyDescent="0.25">
      <c r="A403" s="1">
        <v>2402</v>
      </c>
      <c r="B403" s="1">
        <v>1293</v>
      </c>
      <c r="C403" s="1">
        <v>266</v>
      </c>
      <c r="D403" s="1" t="s">
        <v>25</v>
      </c>
      <c r="E403" t="s">
        <v>40</v>
      </c>
    </row>
    <row r="404" spans="1:5" ht="13.2" x14ac:dyDescent="0.25">
      <c r="A404" s="1">
        <v>2403</v>
      </c>
      <c r="B404" s="1">
        <v>1150</v>
      </c>
      <c r="C404" s="1">
        <v>472</v>
      </c>
      <c r="D404" s="1" t="s">
        <v>7</v>
      </c>
      <c r="E404" t="s">
        <v>42</v>
      </c>
    </row>
    <row r="405" spans="1:5" ht="13.2" x14ac:dyDescent="0.25">
      <c r="A405" s="1">
        <v>2404</v>
      </c>
      <c r="B405" s="1">
        <v>1038</v>
      </c>
      <c r="C405" s="1">
        <v>335</v>
      </c>
      <c r="D405" s="1" t="s">
        <v>12</v>
      </c>
      <c r="E405" t="s">
        <v>41</v>
      </c>
    </row>
    <row r="406" spans="1:5" ht="13.2" x14ac:dyDescent="0.25">
      <c r="A406" s="1">
        <v>2405</v>
      </c>
      <c r="B406" s="1">
        <v>1059</v>
      </c>
      <c r="C406" s="1">
        <v>118</v>
      </c>
      <c r="D406" s="1" t="s">
        <v>14</v>
      </c>
      <c r="E406" t="s">
        <v>39</v>
      </c>
    </row>
    <row r="407" spans="1:5" ht="13.2" x14ac:dyDescent="0.25">
      <c r="A407" s="1">
        <v>2406</v>
      </c>
      <c r="B407" s="1">
        <v>1459</v>
      </c>
      <c r="C407" s="1">
        <v>128</v>
      </c>
      <c r="D407" s="1" t="s">
        <v>14</v>
      </c>
      <c r="E407" t="s">
        <v>40</v>
      </c>
    </row>
    <row r="408" spans="1:5" ht="13.2" x14ac:dyDescent="0.25">
      <c r="A408" s="1">
        <v>2407</v>
      </c>
      <c r="B408" s="1">
        <v>1446</v>
      </c>
      <c r="C408" s="1">
        <v>66</v>
      </c>
      <c r="D408" s="1" t="s">
        <v>12</v>
      </c>
      <c r="E408" t="s">
        <v>42</v>
      </c>
    </row>
    <row r="409" spans="1:5" ht="13.2" x14ac:dyDescent="0.25">
      <c r="A409" s="1">
        <v>2408</v>
      </c>
      <c r="B409" s="1">
        <v>1161</v>
      </c>
      <c r="C409" s="1">
        <v>167</v>
      </c>
      <c r="D409" s="1" t="s">
        <v>9</v>
      </c>
      <c r="E409" t="s">
        <v>42</v>
      </c>
    </row>
    <row r="410" spans="1:5" ht="13.2" x14ac:dyDescent="0.25">
      <c r="A410" s="1">
        <v>2409</v>
      </c>
      <c r="B410" s="1">
        <v>1021</v>
      </c>
      <c r="C410" s="1">
        <v>374</v>
      </c>
      <c r="D410" s="1" t="s">
        <v>14</v>
      </c>
      <c r="E410" t="s">
        <v>38</v>
      </c>
    </row>
    <row r="411" spans="1:5" ht="13.2" x14ac:dyDescent="0.25">
      <c r="A411" s="1">
        <v>2410</v>
      </c>
      <c r="B411" s="1">
        <v>1063</v>
      </c>
      <c r="C411" s="1">
        <v>21</v>
      </c>
      <c r="D411" s="1" t="s">
        <v>12</v>
      </c>
      <c r="E411" t="s">
        <v>38</v>
      </c>
    </row>
    <row r="412" spans="1:5" ht="13.2" x14ac:dyDescent="0.25">
      <c r="A412" s="1">
        <v>2411</v>
      </c>
      <c r="B412" s="1">
        <v>1334</v>
      </c>
      <c r="C412" s="1">
        <v>435</v>
      </c>
      <c r="D412" s="1" t="s">
        <v>12</v>
      </c>
      <c r="E412" t="s">
        <v>39</v>
      </c>
    </row>
    <row r="413" spans="1:5" ht="13.2" x14ac:dyDescent="0.25">
      <c r="A413" s="1">
        <v>2412</v>
      </c>
      <c r="B413" s="1">
        <v>1315</v>
      </c>
      <c r="C413" s="1">
        <v>303</v>
      </c>
      <c r="D413" s="1" t="s">
        <v>9</v>
      </c>
      <c r="E413" t="s">
        <v>39</v>
      </c>
    </row>
    <row r="414" spans="1:5" ht="13.2" x14ac:dyDescent="0.25">
      <c r="A414" s="1">
        <v>2413</v>
      </c>
      <c r="B414" s="1">
        <v>1042</v>
      </c>
      <c r="C414" s="1">
        <v>210</v>
      </c>
      <c r="D414" s="1" t="s">
        <v>7</v>
      </c>
      <c r="E414" t="s">
        <v>38</v>
      </c>
    </row>
    <row r="415" spans="1:5" ht="13.2" x14ac:dyDescent="0.25">
      <c r="A415" s="1">
        <v>2414</v>
      </c>
      <c r="B415" s="1">
        <v>1209</v>
      </c>
      <c r="C415" s="1">
        <v>324</v>
      </c>
      <c r="D415" s="1" t="s">
        <v>7</v>
      </c>
      <c r="E415" t="s">
        <v>40</v>
      </c>
    </row>
    <row r="416" spans="1:5" ht="13.2" x14ac:dyDescent="0.25">
      <c r="A416" s="1">
        <v>2415</v>
      </c>
      <c r="B416" s="1">
        <v>1408</v>
      </c>
      <c r="C416" s="1">
        <v>206</v>
      </c>
      <c r="D416" s="1" t="s">
        <v>14</v>
      </c>
      <c r="E416" t="s">
        <v>39</v>
      </c>
    </row>
    <row r="417" spans="1:5" ht="13.2" x14ac:dyDescent="0.25">
      <c r="A417" s="1">
        <v>2416</v>
      </c>
      <c r="B417" s="1">
        <v>1323</v>
      </c>
      <c r="C417" s="1">
        <v>185</v>
      </c>
      <c r="D417" s="1" t="s">
        <v>25</v>
      </c>
      <c r="E417" t="s">
        <v>42</v>
      </c>
    </row>
    <row r="418" spans="1:5" ht="13.2" x14ac:dyDescent="0.25">
      <c r="A418" s="1">
        <v>2417</v>
      </c>
      <c r="B418" s="1">
        <v>1479</v>
      </c>
      <c r="C418" s="1">
        <v>88</v>
      </c>
      <c r="D418" s="1" t="s">
        <v>14</v>
      </c>
      <c r="E418" t="s">
        <v>39</v>
      </c>
    </row>
    <row r="419" spans="1:5" ht="13.2" x14ac:dyDescent="0.25">
      <c r="A419" s="1">
        <v>2418</v>
      </c>
      <c r="B419" s="1">
        <v>1060</v>
      </c>
      <c r="C419" s="1">
        <v>93</v>
      </c>
      <c r="D419" s="1" t="s">
        <v>7</v>
      </c>
      <c r="E419" t="s">
        <v>42</v>
      </c>
    </row>
    <row r="420" spans="1:5" ht="13.2" x14ac:dyDescent="0.25">
      <c r="A420" s="1">
        <v>2419</v>
      </c>
      <c r="B420" s="1">
        <v>1494</v>
      </c>
      <c r="C420" s="1">
        <v>292</v>
      </c>
      <c r="D420" s="1" t="s">
        <v>25</v>
      </c>
      <c r="E420" t="s">
        <v>42</v>
      </c>
    </row>
    <row r="421" spans="1:5" ht="13.2" x14ac:dyDescent="0.25">
      <c r="A421" s="1">
        <v>2420</v>
      </c>
      <c r="B421" s="1">
        <v>1427</v>
      </c>
      <c r="C421" s="1">
        <v>195</v>
      </c>
      <c r="D421" s="1" t="s">
        <v>14</v>
      </c>
      <c r="E421" t="s">
        <v>39</v>
      </c>
    </row>
    <row r="422" spans="1:5" ht="13.2" x14ac:dyDescent="0.25">
      <c r="A422" s="1">
        <v>2421</v>
      </c>
      <c r="B422" s="1">
        <v>1348</v>
      </c>
      <c r="C422" s="1">
        <v>296</v>
      </c>
      <c r="D422" s="1" t="s">
        <v>7</v>
      </c>
      <c r="E422" t="s">
        <v>42</v>
      </c>
    </row>
    <row r="423" spans="1:5" ht="13.2" x14ac:dyDescent="0.25">
      <c r="A423" s="1">
        <v>2422</v>
      </c>
      <c r="B423" s="1">
        <v>1389</v>
      </c>
      <c r="C423" s="1">
        <v>446</v>
      </c>
      <c r="D423" s="1" t="s">
        <v>14</v>
      </c>
      <c r="E423" t="s">
        <v>40</v>
      </c>
    </row>
    <row r="424" spans="1:5" ht="13.2" x14ac:dyDescent="0.25">
      <c r="A424" s="1">
        <v>2423</v>
      </c>
      <c r="B424" s="1">
        <v>1305</v>
      </c>
      <c r="C424" s="1">
        <v>441</v>
      </c>
      <c r="D424" s="1" t="s">
        <v>12</v>
      </c>
      <c r="E424" t="s">
        <v>39</v>
      </c>
    </row>
    <row r="425" spans="1:5" ht="13.2" x14ac:dyDescent="0.25">
      <c r="A425" s="1">
        <v>2424</v>
      </c>
      <c r="B425" s="1">
        <v>1191</v>
      </c>
      <c r="C425" s="1">
        <v>271</v>
      </c>
      <c r="D425" s="1" t="s">
        <v>14</v>
      </c>
      <c r="E425" t="s">
        <v>40</v>
      </c>
    </row>
    <row r="426" spans="1:5" ht="13.2" x14ac:dyDescent="0.25">
      <c r="A426" s="1">
        <v>2425</v>
      </c>
      <c r="B426" s="1">
        <v>1023</v>
      </c>
      <c r="C426" s="1">
        <v>80</v>
      </c>
      <c r="D426" s="1" t="s">
        <v>9</v>
      </c>
      <c r="E426" t="s">
        <v>41</v>
      </c>
    </row>
    <row r="427" spans="1:5" ht="13.2" x14ac:dyDescent="0.25">
      <c r="A427" s="1">
        <v>2426</v>
      </c>
      <c r="B427" s="1">
        <v>1148</v>
      </c>
      <c r="C427" s="1">
        <v>179</v>
      </c>
      <c r="D427" s="1" t="s">
        <v>14</v>
      </c>
      <c r="E427" t="s">
        <v>39</v>
      </c>
    </row>
    <row r="428" spans="1:5" ht="13.2" x14ac:dyDescent="0.25">
      <c r="A428" s="1">
        <v>2427</v>
      </c>
      <c r="B428" s="1">
        <v>1253</v>
      </c>
      <c r="C428" s="1">
        <v>175</v>
      </c>
      <c r="D428" s="1" t="s">
        <v>7</v>
      </c>
      <c r="E428" t="s">
        <v>42</v>
      </c>
    </row>
    <row r="429" spans="1:5" ht="13.2" x14ac:dyDescent="0.25">
      <c r="A429" s="1">
        <v>2428</v>
      </c>
      <c r="B429" s="1">
        <v>1434</v>
      </c>
      <c r="C429" s="1">
        <v>93</v>
      </c>
      <c r="D429" s="1" t="s">
        <v>14</v>
      </c>
      <c r="E429" t="s">
        <v>42</v>
      </c>
    </row>
    <row r="430" spans="1:5" ht="13.2" x14ac:dyDescent="0.25">
      <c r="A430" s="1">
        <v>2429</v>
      </c>
      <c r="B430" s="1">
        <v>1196</v>
      </c>
      <c r="C430" s="1">
        <v>177</v>
      </c>
      <c r="D430" s="1" t="s">
        <v>14</v>
      </c>
      <c r="E430" t="s">
        <v>39</v>
      </c>
    </row>
    <row r="431" spans="1:5" ht="13.2" x14ac:dyDescent="0.25">
      <c r="A431" s="1">
        <v>2430</v>
      </c>
      <c r="B431" s="1">
        <v>1190</v>
      </c>
      <c r="C431" s="1">
        <v>33</v>
      </c>
      <c r="D431" s="1" t="s">
        <v>7</v>
      </c>
      <c r="E431" t="s">
        <v>38</v>
      </c>
    </row>
    <row r="432" spans="1:5" ht="13.2" x14ac:dyDescent="0.25">
      <c r="A432" s="1">
        <v>2431</v>
      </c>
      <c r="B432" s="1">
        <v>1029</v>
      </c>
      <c r="C432" s="1">
        <v>444</v>
      </c>
      <c r="D432" s="1" t="s">
        <v>25</v>
      </c>
      <c r="E432" t="s">
        <v>40</v>
      </c>
    </row>
    <row r="433" spans="1:5" ht="13.2" x14ac:dyDescent="0.25">
      <c r="A433" s="1">
        <v>2432</v>
      </c>
      <c r="B433" s="1">
        <v>1435</v>
      </c>
      <c r="C433" s="1">
        <v>132</v>
      </c>
      <c r="D433" s="1" t="s">
        <v>25</v>
      </c>
      <c r="E433" t="s">
        <v>38</v>
      </c>
    </row>
    <row r="434" spans="1:5" ht="13.2" x14ac:dyDescent="0.25">
      <c r="A434" s="1">
        <v>2433</v>
      </c>
      <c r="B434" s="1">
        <v>1150</v>
      </c>
      <c r="C434" s="1">
        <v>109</v>
      </c>
      <c r="D434" s="1" t="s">
        <v>25</v>
      </c>
      <c r="E434" t="s">
        <v>40</v>
      </c>
    </row>
    <row r="435" spans="1:5" ht="13.2" x14ac:dyDescent="0.25">
      <c r="A435" s="1">
        <v>2434</v>
      </c>
      <c r="B435" s="1">
        <v>1400</v>
      </c>
      <c r="C435" s="1">
        <v>62</v>
      </c>
      <c r="D435" s="1" t="s">
        <v>9</v>
      </c>
      <c r="E435" t="s">
        <v>38</v>
      </c>
    </row>
    <row r="436" spans="1:5" ht="13.2" x14ac:dyDescent="0.25">
      <c r="A436" s="1">
        <v>2435</v>
      </c>
      <c r="B436" s="1">
        <v>1052</v>
      </c>
      <c r="C436" s="1">
        <v>354</v>
      </c>
      <c r="D436" s="1" t="s">
        <v>7</v>
      </c>
      <c r="E436" t="s">
        <v>40</v>
      </c>
    </row>
    <row r="437" spans="1:5" ht="13.2" x14ac:dyDescent="0.25">
      <c r="A437" s="1">
        <v>2436</v>
      </c>
      <c r="B437" s="1">
        <v>1268</v>
      </c>
      <c r="C437" s="1">
        <v>425</v>
      </c>
      <c r="D437" s="1" t="s">
        <v>25</v>
      </c>
      <c r="E437" t="s">
        <v>39</v>
      </c>
    </row>
    <row r="438" spans="1:5" ht="13.2" x14ac:dyDescent="0.25">
      <c r="A438" s="1">
        <v>2437</v>
      </c>
      <c r="B438" s="1">
        <v>1335</v>
      </c>
      <c r="C438" s="1">
        <v>255</v>
      </c>
      <c r="D438" s="1" t="s">
        <v>7</v>
      </c>
      <c r="E438" t="s">
        <v>38</v>
      </c>
    </row>
    <row r="439" spans="1:5" ht="13.2" x14ac:dyDescent="0.25">
      <c r="A439" s="1">
        <v>2438</v>
      </c>
      <c r="B439" s="1">
        <v>1214</v>
      </c>
      <c r="C439" s="1">
        <v>89</v>
      </c>
      <c r="D439" s="1" t="s">
        <v>12</v>
      </c>
      <c r="E439" t="s">
        <v>42</v>
      </c>
    </row>
    <row r="440" spans="1:5" ht="13.2" x14ac:dyDescent="0.25">
      <c r="A440" s="1">
        <v>2439</v>
      </c>
      <c r="B440" s="1">
        <v>1175</v>
      </c>
      <c r="C440" s="1">
        <v>341</v>
      </c>
      <c r="D440" s="1" t="s">
        <v>9</v>
      </c>
      <c r="E440" t="s">
        <v>42</v>
      </c>
    </row>
    <row r="441" spans="1:5" ht="13.2" x14ac:dyDescent="0.25">
      <c r="A441" s="1">
        <v>2440</v>
      </c>
      <c r="B441" s="1">
        <v>1312</v>
      </c>
      <c r="C441" s="1">
        <v>36</v>
      </c>
      <c r="D441" s="1" t="s">
        <v>25</v>
      </c>
      <c r="E441" t="s">
        <v>40</v>
      </c>
    </row>
    <row r="442" spans="1:5" ht="13.2" x14ac:dyDescent="0.25">
      <c r="A442" s="1">
        <v>2441</v>
      </c>
      <c r="B442" s="1">
        <v>1468</v>
      </c>
      <c r="C442" s="1">
        <v>195</v>
      </c>
      <c r="D442" s="1" t="s">
        <v>25</v>
      </c>
      <c r="E442" t="s">
        <v>39</v>
      </c>
    </row>
    <row r="443" spans="1:5" ht="13.2" x14ac:dyDescent="0.25">
      <c r="A443" s="1">
        <v>2442</v>
      </c>
      <c r="B443" s="1">
        <v>1328</v>
      </c>
      <c r="C443" s="1">
        <v>388</v>
      </c>
      <c r="D443" s="1" t="s">
        <v>12</v>
      </c>
      <c r="E443" t="s">
        <v>39</v>
      </c>
    </row>
    <row r="444" spans="1:5" ht="13.2" x14ac:dyDescent="0.25">
      <c r="A444" s="1">
        <v>2443</v>
      </c>
      <c r="B444" s="1">
        <v>1056</v>
      </c>
      <c r="C444" s="1">
        <v>154</v>
      </c>
      <c r="D444" s="1" t="s">
        <v>12</v>
      </c>
      <c r="E444" t="s">
        <v>41</v>
      </c>
    </row>
    <row r="445" spans="1:5" ht="13.2" x14ac:dyDescent="0.25">
      <c r="A445" s="1">
        <v>2444</v>
      </c>
      <c r="B445" s="1">
        <v>1155</v>
      </c>
      <c r="C445" s="1">
        <v>66</v>
      </c>
      <c r="D445" s="1" t="s">
        <v>7</v>
      </c>
      <c r="E445" t="s">
        <v>41</v>
      </c>
    </row>
    <row r="446" spans="1:5" ht="13.2" x14ac:dyDescent="0.25">
      <c r="A446" s="1">
        <v>2445</v>
      </c>
      <c r="B446" s="1">
        <v>1006</v>
      </c>
      <c r="C446" s="1">
        <v>92</v>
      </c>
      <c r="D446" s="1" t="s">
        <v>12</v>
      </c>
      <c r="E446" t="s">
        <v>41</v>
      </c>
    </row>
    <row r="447" spans="1:5" ht="13.2" x14ac:dyDescent="0.25">
      <c r="A447" s="1">
        <v>2446</v>
      </c>
      <c r="B447" s="1">
        <v>1400</v>
      </c>
      <c r="C447" s="1">
        <v>478</v>
      </c>
      <c r="D447" s="1" t="s">
        <v>12</v>
      </c>
      <c r="E447" t="s">
        <v>41</v>
      </c>
    </row>
    <row r="448" spans="1:5" ht="13.2" x14ac:dyDescent="0.25">
      <c r="A448" s="1">
        <v>2447</v>
      </c>
      <c r="B448" s="1">
        <v>1191</v>
      </c>
      <c r="C448" s="1">
        <v>391</v>
      </c>
      <c r="D448" s="1" t="s">
        <v>7</v>
      </c>
      <c r="E448" t="s">
        <v>38</v>
      </c>
    </row>
    <row r="449" spans="1:5" ht="13.2" x14ac:dyDescent="0.25">
      <c r="A449" s="1">
        <v>2448</v>
      </c>
      <c r="B449" s="1">
        <v>1409</v>
      </c>
      <c r="C449" s="1">
        <v>80</v>
      </c>
      <c r="D449" s="1" t="s">
        <v>7</v>
      </c>
      <c r="E449" t="s">
        <v>38</v>
      </c>
    </row>
    <row r="450" spans="1:5" ht="13.2" x14ac:dyDescent="0.25">
      <c r="A450" s="1">
        <v>2449</v>
      </c>
      <c r="B450" s="1">
        <v>1230</v>
      </c>
      <c r="C450" s="1">
        <v>88</v>
      </c>
      <c r="D450" s="1" t="s">
        <v>25</v>
      </c>
      <c r="E450" t="s">
        <v>41</v>
      </c>
    </row>
    <row r="451" spans="1:5" ht="13.2" x14ac:dyDescent="0.25">
      <c r="A451" s="1">
        <v>2450</v>
      </c>
      <c r="B451" s="1">
        <v>1327</v>
      </c>
      <c r="C451" s="1">
        <v>406</v>
      </c>
      <c r="D451" s="1" t="s">
        <v>25</v>
      </c>
      <c r="E451" t="s">
        <v>39</v>
      </c>
    </row>
    <row r="452" spans="1:5" ht="13.2" x14ac:dyDescent="0.25">
      <c r="A452" s="1">
        <v>2451</v>
      </c>
      <c r="B452" s="1">
        <v>1007</v>
      </c>
      <c r="C452" s="1">
        <v>447</v>
      </c>
      <c r="D452" s="1" t="s">
        <v>7</v>
      </c>
      <c r="E452" t="s">
        <v>42</v>
      </c>
    </row>
    <row r="453" spans="1:5" ht="13.2" x14ac:dyDescent="0.25">
      <c r="A453" s="1">
        <v>2452</v>
      </c>
      <c r="B453" s="1">
        <v>1274</v>
      </c>
      <c r="C453" s="1">
        <v>449</v>
      </c>
      <c r="D453" s="1" t="s">
        <v>7</v>
      </c>
      <c r="E453" t="s">
        <v>39</v>
      </c>
    </row>
    <row r="454" spans="1:5" ht="13.2" x14ac:dyDescent="0.25">
      <c r="A454" s="1">
        <v>2453</v>
      </c>
      <c r="B454" s="1">
        <v>1277</v>
      </c>
      <c r="C454" s="1">
        <v>34</v>
      </c>
      <c r="D454" s="1" t="s">
        <v>12</v>
      </c>
      <c r="E454" t="s">
        <v>41</v>
      </c>
    </row>
    <row r="455" spans="1:5" ht="13.2" x14ac:dyDescent="0.25">
      <c r="A455" s="1">
        <v>2454</v>
      </c>
      <c r="B455" s="1">
        <v>1269</v>
      </c>
      <c r="C455" s="1">
        <v>77</v>
      </c>
      <c r="D455" s="1" t="s">
        <v>14</v>
      </c>
      <c r="E455" t="s">
        <v>39</v>
      </c>
    </row>
    <row r="456" spans="1:5" ht="13.2" x14ac:dyDescent="0.25">
      <c r="A456" s="1">
        <v>2455</v>
      </c>
      <c r="B456" s="1">
        <v>1020</v>
      </c>
      <c r="C456" s="1">
        <v>164</v>
      </c>
      <c r="D456" s="1" t="s">
        <v>9</v>
      </c>
      <c r="E456" t="s">
        <v>40</v>
      </c>
    </row>
    <row r="457" spans="1:5" ht="13.2" x14ac:dyDescent="0.25">
      <c r="A457" s="1">
        <v>2456</v>
      </c>
      <c r="B457" s="1">
        <v>1159</v>
      </c>
      <c r="C457" s="1">
        <v>82</v>
      </c>
      <c r="D457" s="1" t="s">
        <v>14</v>
      </c>
      <c r="E457" t="s">
        <v>41</v>
      </c>
    </row>
    <row r="458" spans="1:5" ht="13.2" x14ac:dyDescent="0.25">
      <c r="A458" s="1">
        <v>2457</v>
      </c>
      <c r="B458" s="1">
        <v>1109</v>
      </c>
      <c r="C458" s="1">
        <v>109</v>
      </c>
      <c r="D458" s="1" t="s">
        <v>12</v>
      </c>
      <c r="E458" t="s">
        <v>41</v>
      </c>
    </row>
    <row r="459" spans="1:5" ht="13.2" x14ac:dyDescent="0.25">
      <c r="A459" s="1">
        <v>2458</v>
      </c>
      <c r="B459" s="1">
        <v>1424</v>
      </c>
      <c r="C459" s="1">
        <v>219</v>
      </c>
      <c r="D459" s="1" t="s">
        <v>14</v>
      </c>
      <c r="E459" t="s">
        <v>39</v>
      </c>
    </row>
    <row r="460" spans="1:5" ht="13.2" x14ac:dyDescent="0.25">
      <c r="A460" s="1">
        <v>2459</v>
      </c>
      <c r="B460" s="1">
        <v>1299</v>
      </c>
      <c r="C460" s="1">
        <v>162</v>
      </c>
      <c r="D460" s="1" t="s">
        <v>12</v>
      </c>
      <c r="E460" t="s">
        <v>42</v>
      </c>
    </row>
    <row r="461" spans="1:5" ht="13.2" x14ac:dyDescent="0.25">
      <c r="A461" s="1">
        <v>2460</v>
      </c>
      <c r="B461" s="1">
        <v>1237</v>
      </c>
      <c r="C461" s="1">
        <v>420</v>
      </c>
      <c r="D461" s="1" t="s">
        <v>25</v>
      </c>
      <c r="E461" t="s">
        <v>39</v>
      </c>
    </row>
    <row r="462" spans="1:5" ht="13.2" x14ac:dyDescent="0.25">
      <c r="A462" s="1">
        <v>2461</v>
      </c>
      <c r="B462" s="1">
        <v>1480</v>
      </c>
      <c r="C462" s="1">
        <v>315</v>
      </c>
      <c r="D462" s="1" t="s">
        <v>12</v>
      </c>
      <c r="E462" t="s">
        <v>39</v>
      </c>
    </row>
    <row r="463" spans="1:5" ht="13.2" x14ac:dyDescent="0.25">
      <c r="A463" s="1">
        <v>2462</v>
      </c>
      <c r="B463" s="1">
        <v>1295</v>
      </c>
      <c r="C463" s="1">
        <v>19</v>
      </c>
      <c r="D463" s="1" t="s">
        <v>25</v>
      </c>
      <c r="E463" t="s">
        <v>40</v>
      </c>
    </row>
    <row r="464" spans="1:5" ht="13.2" x14ac:dyDescent="0.25">
      <c r="A464" s="1">
        <v>2463</v>
      </c>
      <c r="B464" s="1">
        <v>1323</v>
      </c>
      <c r="C464" s="1">
        <v>236</v>
      </c>
      <c r="D464" s="1" t="s">
        <v>14</v>
      </c>
      <c r="E464" t="s">
        <v>41</v>
      </c>
    </row>
    <row r="465" spans="1:5" ht="13.2" x14ac:dyDescent="0.25">
      <c r="A465" s="1">
        <v>2464</v>
      </c>
      <c r="B465" s="1">
        <v>1386</v>
      </c>
      <c r="C465" s="1">
        <v>364</v>
      </c>
      <c r="D465" s="1" t="s">
        <v>14</v>
      </c>
      <c r="E465" t="s">
        <v>40</v>
      </c>
    </row>
    <row r="466" spans="1:5" ht="13.2" x14ac:dyDescent="0.25">
      <c r="A466" s="1">
        <v>2465</v>
      </c>
      <c r="B466" s="1">
        <v>1178</v>
      </c>
      <c r="C466" s="1">
        <v>399</v>
      </c>
      <c r="D466" s="1" t="s">
        <v>14</v>
      </c>
      <c r="E466" t="s">
        <v>40</v>
      </c>
    </row>
    <row r="467" spans="1:5" ht="13.2" x14ac:dyDescent="0.25">
      <c r="A467" s="1">
        <v>2466</v>
      </c>
      <c r="B467" s="1">
        <v>1241</v>
      </c>
      <c r="C467" s="1">
        <v>464</v>
      </c>
      <c r="D467" s="1" t="s">
        <v>7</v>
      </c>
      <c r="E467" t="s">
        <v>39</v>
      </c>
    </row>
    <row r="468" spans="1:5" ht="13.2" x14ac:dyDescent="0.25">
      <c r="A468" s="1">
        <v>2467</v>
      </c>
      <c r="B468" s="1">
        <v>1057</v>
      </c>
      <c r="C468" s="1">
        <v>239</v>
      </c>
      <c r="D468" s="1" t="s">
        <v>9</v>
      </c>
      <c r="E468" t="s">
        <v>42</v>
      </c>
    </row>
    <row r="469" spans="1:5" ht="13.2" x14ac:dyDescent="0.25">
      <c r="A469" s="1">
        <v>2468</v>
      </c>
      <c r="B469" s="1">
        <v>1460</v>
      </c>
      <c r="C469" s="1">
        <v>107</v>
      </c>
      <c r="D469" s="1" t="s">
        <v>14</v>
      </c>
      <c r="E469" t="s">
        <v>38</v>
      </c>
    </row>
    <row r="470" spans="1:5" ht="13.2" x14ac:dyDescent="0.25">
      <c r="A470" s="1">
        <v>2469</v>
      </c>
      <c r="B470" s="1">
        <v>1388</v>
      </c>
      <c r="C470" s="1">
        <v>475</v>
      </c>
      <c r="D470" s="1" t="s">
        <v>12</v>
      </c>
      <c r="E470" t="s">
        <v>41</v>
      </c>
    </row>
    <row r="471" spans="1:5" ht="13.2" x14ac:dyDescent="0.25">
      <c r="A471" s="1">
        <v>2470</v>
      </c>
      <c r="B471" s="1">
        <v>1365</v>
      </c>
      <c r="C471" s="1">
        <v>402</v>
      </c>
      <c r="D471" s="1" t="s">
        <v>14</v>
      </c>
      <c r="E471" t="s">
        <v>40</v>
      </c>
    </row>
    <row r="472" spans="1:5" ht="13.2" x14ac:dyDescent="0.25">
      <c r="A472" s="1">
        <v>2471</v>
      </c>
      <c r="B472" s="1">
        <v>1272</v>
      </c>
      <c r="C472" s="1">
        <v>196</v>
      </c>
      <c r="D472" s="1" t="s">
        <v>14</v>
      </c>
      <c r="E472" t="s">
        <v>39</v>
      </c>
    </row>
    <row r="473" spans="1:5" ht="13.2" x14ac:dyDescent="0.25">
      <c r="A473" s="1">
        <v>2472</v>
      </c>
      <c r="B473" s="1">
        <v>1136</v>
      </c>
      <c r="C473" s="1">
        <v>88</v>
      </c>
      <c r="D473" s="1" t="s">
        <v>9</v>
      </c>
      <c r="E473" t="s">
        <v>40</v>
      </c>
    </row>
    <row r="474" spans="1:5" ht="13.2" x14ac:dyDescent="0.25">
      <c r="A474" s="1">
        <v>2473</v>
      </c>
      <c r="B474" s="1">
        <v>1436</v>
      </c>
      <c r="C474" s="1">
        <v>18</v>
      </c>
      <c r="D474" s="1" t="s">
        <v>14</v>
      </c>
      <c r="E474" t="s">
        <v>38</v>
      </c>
    </row>
    <row r="475" spans="1:5" ht="13.2" x14ac:dyDescent="0.25">
      <c r="A475" s="1">
        <v>2474</v>
      </c>
      <c r="B475" s="1">
        <v>1382</v>
      </c>
      <c r="C475" s="1">
        <v>260</v>
      </c>
      <c r="D475" s="1" t="s">
        <v>12</v>
      </c>
      <c r="E475" t="s">
        <v>41</v>
      </c>
    </row>
    <row r="476" spans="1:5" ht="13.2" x14ac:dyDescent="0.25">
      <c r="A476" s="1">
        <v>2475</v>
      </c>
      <c r="B476" s="1">
        <v>1191</v>
      </c>
      <c r="C476" s="1">
        <v>401</v>
      </c>
      <c r="D476" s="1" t="s">
        <v>25</v>
      </c>
      <c r="E476" t="s">
        <v>42</v>
      </c>
    </row>
    <row r="477" spans="1:5" ht="13.2" x14ac:dyDescent="0.25">
      <c r="A477" s="1">
        <v>2476</v>
      </c>
      <c r="B477" s="1">
        <v>1006</v>
      </c>
      <c r="C477" s="1">
        <v>113</v>
      </c>
      <c r="D477" s="1" t="s">
        <v>12</v>
      </c>
      <c r="E477" t="s">
        <v>38</v>
      </c>
    </row>
    <row r="478" spans="1:5" ht="13.2" x14ac:dyDescent="0.25">
      <c r="A478" s="1">
        <v>2477</v>
      </c>
      <c r="B478" s="1">
        <v>1059</v>
      </c>
      <c r="C478" s="1">
        <v>57</v>
      </c>
      <c r="D478" s="1" t="s">
        <v>12</v>
      </c>
      <c r="E478" t="s">
        <v>41</v>
      </c>
    </row>
    <row r="479" spans="1:5" ht="13.2" x14ac:dyDescent="0.25">
      <c r="A479" s="1">
        <v>2478</v>
      </c>
      <c r="B479" s="1">
        <v>1109</v>
      </c>
      <c r="C479" s="1">
        <v>379</v>
      </c>
      <c r="D479" s="1" t="s">
        <v>14</v>
      </c>
      <c r="E479" t="s">
        <v>41</v>
      </c>
    </row>
    <row r="480" spans="1:5" ht="13.2" x14ac:dyDescent="0.25">
      <c r="A480" s="1">
        <v>2479</v>
      </c>
      <c r="B480" s="1">
        <v>1263</v>
      </c>
      <c r="C480" s="1">
        <v>98</v>
      </c>
      <c r="D480" s="1" t="s">
        <v>7</v>
      </c>
      <c r="E480" t="s">
        <v>39</v>
      </c>
    </row>
    <row r="481" spans="1:5" ht="13.2" x14ac:dyDescent="0.25">
      <c r="A481" s="1">
        <v>2480</v>
      </c>
      <c r="B481" s="1">
        <v>1226</v>
      </c>
      <c r="C481" s="1">
        <v>430</v>
      </c>
      <c r="D481" s="1" t="s">
        <v>7</v>
      </c>
      <c r="E481" t="s">
        <v>42</v>
      </c>
    </row>
    <row r="482" spans="1:5" ht="13.2" x14ac:dyDescent="0.25">
      <c r="A482" s="1">
        <v>2481</v>
      </c>
      <c r="B482" s="1">
        <v>1346</v>
      </c>
      <c r="C482" s="1">
        <v>387</v>
      </c>
      <c r="D482" s="1" t="s">
        <v>25</v>
      </c>
      <c r="E482" t="s">
        <v>40</v>
      </c>
    </row>
    <row r="483" spans="1:5" ht="13.2" x14ac:dyDescent="0.25">
      <c r="A483" s="1">
        <v>2482</v>
      </c>
      <c r="B483" s="1">
        <v>1419</v>
      </c>
      <c r="C483" s="1">
        <v>250</v>
      </c>
      <c r="D483" s="1" t="s">
        <v>7</v>
      </c>
      <c r="E483" t="s">
        <v>38</v>
      </c>
    </row>
    <row r="484" spans="1:5" ht="13.2" x14ac:dyDescent="0.25">
      <c r="A484" s="1">
        <v>2483</v>
      </c>
      <c r="B484" s="1">
        <v>1256</v>
      </c>
      <c r="C484" s="1">
        <v>339</v>
      </c>
      <c r="D484" s="1" t="s">
        <v>9</v>
      </c>
      <c r="E484" t="s">
        <v>40</v>
      </c>
    </row>
    <row r="485" spans="1:5" ht="13.2" x14ac:dyDescent="0.25">
      <c r="A485" s="1">
        <v>2484</v>
      </c>
      <c r="B485" s="1">
        <v>1452</v>
      </c>
      <c r="C485" s="1">
        <v>65</v>
      </c>
      <c r="D485" s="1" t="s">
        <v>12</v>
      </c>
      <c r="E485" t="s">
        <v>39</v>
      </c>
    </row>
    <row r="486" spans="1:5" ht="13.2" x14ac:dyDescent="0.25">
      <c r="A486" s="1">
        <v>2485</v>
      </c>
      <c r="B486" s="1">
        <v>1334</v>
      </c>
      <c r="C486" s="1">
        <v>45</v>
      </c>
      <c r="D486" s="1" t="s">
        <v>9</v>
      </c>
      <c r="E486" t="s">
        <v>41</v>
      </c>
    </row>
    <row r="487" spans="1:5" ht="13.2" x14ac:dyDescent="0.25">
      <c r="A487" s="1">
        <v>2486</v>
      </c>
      <c r="B487" s="1">
        <v>1418</v>
      </c>
      <c r="C487" s="1">
        <v>331</v>
      </c>
      <c r="D487" s="1" t="s">
        <v>14</v>
      </c>
      <c r="E487" t="s">
        <v>39</v>
      </c>
    </row>
    <row r="488" spans="1:5" ht="13.2" x14ac:dyDescent="0.25">
      <c r="A488" s="1">
        <v>2487</v>
      </c>
      <c r="B488" s="1">
        <v>1482</v>
      </c>
      <c r="C488" s="1">
        <v>249</v>
      </c>
      <c r="D488" s="1" t="s">
        <v>14</v>
      </c>
      <c r="E488" t="s">
        <v>41</v>
      </c>
    </row>
    <row r="489" spans="1:5" ht="13.2" x14ac:dyDescent="0.25">
      <c r="A489" s="1">
        <v>2488</v>
      </c>
      <c r="B489" s="1">
        <v>1217</v>
      </c>
      <c r="C489" s="1">
        <v>50</v>
      </c>
      <c r="D489" s="1" t="s">
        <v>25</v>
      </c>
      <c r="E489" t="s">
        <v>39</v>
      </c>
    </row>
    <row r="490" spans="1:5" ht="13.2" x14ac:dyDescent="0.25">
      <c r="A490" s="1">
        <v>2489</v>
      </c>
      <c r="B490" s="1">
        <v>1026</v>
      </c>
      <c r="C490" s="1">
        <v>137</v>
      </c>
      <c r="D490" s="1" t="s">
        <v>25</v>
      </c>
      <c r="E490" t="s">
        <v>38</v>
      </c>
    </row>
    <row r="491" spans="1:5" ht="13.2" x14ac:dyDescent="0.25">
      <c r="A491" s="1">
        <v>2490</v>
      </c>
      <c r="B491" s="1">
        <v>1259</v>
      </c>
      <c r="C491" s="1">
        <v>80</v>
      </c>
      <c r="D491" s="1" t="s">
        <v>9</v>
      </c>
      <c r="E491" t="s">
        <v>38</v>
      </c>
    </row>
    <row r="492" spans="1:5" ht="13.2" x14ac:dyDescent="0.25">
      <c r="A492" s="1">
        <v>2491</v>
      </c>
      <c r="B492" s="1">
        <v>1225</v>
      </c>
      <c r="C492" s="1">
        <v>412</v>
      </c>
      <c r="D492" s="1" t="s">
        <v>25</v>
      </c>
      <c r="E492" t="s">
        <v>38</v>
      </c>
    </row>
    <row r="493" spans="1:5" ht="13.2" x14ac:dyDescent="0.25">
      <c r="A493" s="1">
        <v>2492</v>
      </c>
      <c r="B493" s="1">
        <v>1081</v>
      </c>
      <c r="C493" s="1">
        <v>211</v>
      </c>
      <c r="D493" s="1" t="s">
        <v>25</v>
      </c>
      <c r="E493" t="s">
        <v>41</v>
      </c>
    </row>
    <row r="494" spans="1:5" ht="13.2" x14ac:dyDescent="0.25">
      <c r="A494" s="1">
        <v>2493</v>
      </c>
      <c r="B494" s="1">
        <v>1486</v>
      </c>
      <c r="C494" s="1">
        <v>478</v>
      </c>
      <c r="D494" s="1" t="s">
        <v>9</v>
      </c>
      <c r="E494" t="s">
        <v>40</v>
      </c>
    </row>
    <row r="495" spans="1:5" ht="13.2" x14ac:dyDescent="0.25">
      <c r="A495" s="1">
        <v>2494</v>
      </c>
      <c r="B495" s="1">
        <v>1115</v>
      </c>
      <c r="C495" s="1">
        <v>369</v>
      </c>
      <c r="D495" s="1" t="s">
        <v>7</v>
      </c>
      <c r="E495" t="s">
        <v>39</v>
      </c>
    </row>
    <row r="496" spans="1:5" ht="13.2" x14ac:dyDescent="0.25">
      <c r="A496" s="1">
        <v>2495</v>
      </c>
      <c r="B496" s="1">
        <v>1391</v>
      </c>
      <c r="C496" s="1">
        <v>370</v>
      </c>
      <c r="D496" s="1" t="s">
        <v>7</v>
      </c>
      <c r="E496" t="s">
        <v>41</v>
      </c>
    </row>
    <row r="497" spans="1:5" ht="13.2" x14ac:dyDescent="0.25">
      <c r="A497" s="1">
        <v>2496</v>
      </c>
      <c r="B497" s="1">
        <v>1155</v>
      </c>
      <c r="C497" s="1">
        <v>411</v>
      </c>
      <c r="D497" s="1" t="s">
        <v>14</v>
      </c>
      <c r="E497" t="s">
        <v>42</v>
      </c>
    </row>
    <row r="498" spans="1:5" ht="13.2" x14ac:dyDescent="0.25">
      <c r="A498" s="1">
        <v>2497</v>
      </c>
      <c r="B498" s="1">
        <v>1139</v>
      </c>
      <c r="C498" s="1">
        <v>445</v>
      </c>
      <c r="D498" s="1" t="s">
        <v>25</v>
      </c>
      <c r="E498" t="s">
        <v>38</v>
      </c>
    </row>
    <row r="499" spans="1:5" ht="13.2" x14ac:dyDescent="0.25">
      <c r="A499" s="1">
        <v>2498</v>
      </c>
      <c r="B499" s="1">
        <v>1289</v>
      </c>
      <c r="C499" s="1">
        <v>388</v>
      </c>
      <c r="D499" s="1" t="s">
        <v>25</v>
      </c>
      <c r="E499" t="s">
        <v>38</v>
      </c>
    </row>
    <row r="500" spans="1:5" ht="13.2" x14ac:dyDescent="0.25">
      <c r="A500" s="1">
        <v>2499</v>
      </c>
      <c r="B500" s="1">
        <v>1419</v>
      </c>
      <c r="C500" s="1">
        <v>262</v>
      </c>
      <c r="D500" s="1" t="s">
        <v>7</v>
      </c>
      <c r="E500" t="s">
        <v>40</v>
      </c>
    </row>
    <row r="501" spans="1:5" ht="13.2" x14ac:dyDescent="0.25">
      <c r="A501" s="1">
        <v>2500</v>
      </c>
      <c r="B501" s="1">
        <v>1329</v>
      </c>
      <c r="C501" s="1">
        <v>69</v>
      </c>
      <c r="D501" s="1" t="s">
        <v>25</v>
      </c>
      <c r="E501" t="s">
        <v>40</v>
      </c>
    </row>
    <row r="502" spans="1:5" ht="13.2" x14ac:dyDescent="0.25"/>
    <row r="503" spans="1:5" ht="13.2" x14ac:dyDescent="0.25"/>
    <row r="504" spans="1:5" ht="13.2" x14ac:dyDescent="0.25"/>
    <row r="505" spans="1:5" ht="13.2" x14ac:dyDescent="0.25"/>
    <row r="506" spans="1:5" ht="13.2" x14ac:dyDescent="0.25"/>
    <row r="507" spans="1:5" ht="13.2" x14ac:dyDescent="0.25"/>
    <row r="508" spans="1:5" ht="13.2" x14ac:dyDescent="0.25"/>
    <row r="509" spans="1:5" ht="13.2" x14ac:dyDescent="0.25"/>
    <row r="510" spans="1:5" ht="13.2" x14ac:dyDescent="0.25"/>
    <row r="511" spans="1:5" ht="13.2" x14ac:dyDescent="0.25"/>
    <row r="512" spans="1:5"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H18" sqref="H18"/>
    </sheetView>
  </sheetViews>
  <sheetFormatPr defaultColWidth="12.6640625" defaultRowHeight="15.75" customHeight="1" x14ac:dyDescent="0.25"/>
  <cols>
    <col min="1" max="1" width="7.33203125" customWidth="1"/>
    <col min="2" max="2" width="11.33203125" customWidth="1"/>
    <col min="3" max="4" width="10.6640625" customWidth="1"/>
    <col min="5" max="5" width="16.6640625" customWidth="1"/>
    <col min="6" max="25" width="7.6640625" customWidth="1"/>
  </cols>
  <sheetData>
    <row r="1" spans="1:5" ht="13.2" x14ac:dyDescent="0.25">
      <c r="A1" s="2" t="s">
        <v>2</v>
      </c>
      <c r="B1" s="2" t="s">
        <v>8</v>
      </c>
      <c r="C1" s="2" t="s">
        <v>10</v>
      </c>
      <c r="D1" s="2" t="s">
        <v>11</v>
      </c>
      <c r="E1" s="2" t="s">
        <v>13</v>
      </c>
    </row>
    <row r="2" spans="1:5" ht="13.2" x14ac:dyDescent="0.25">
      <c r="A2" s="1">
        <v>1001</v>
      </c>
      <c r="B2" s="1" t="s">
        <v>15</v>
      </c>
      <c r="C2" s="1" t="s">
        <v>16</v>
      </c>
      <c r="D2" s="1" t="s">
        <v>17</v>
      </c>
      <c r="E2" s="1" t="s">
        <v>18</v>
      </c>
    </row>
    <row r="3" spans="1:5" ht="13.2" x14ac:dyDescent="0.25">
      <c r="A3" s="1">
        <v>1002</v>
      </c>
      <c r="B3" s="1" t="s">
        <v>19</v>
      </c>
      <c r="C3" s="1" t="s">
        <v>20</v>
      </c>
      <c r="D3" s="1" t="s">
        <v>21</v>
      </c>
      <c r="E3" s="1" t="s">
        <v>18</v>
      </c>
    </row>
    <row r="4" spans="1:5" ht="13.2" x14ac:dyDescent="0.25">
      <c r="A4" s="1">
        <v>1003</v>
      </c>
      <c r="B4" s="1" t="s">
        <v>22</v>
      </c>
      <c r="C4" s="1" t="s">
        <v>16</v>
      </c>
      <c r="D4" s="1" t="s">
        <v>23</v>
      </c>
      <c r="E4" s="1" t="s">
        <v>24</v>
      </c>
    </row>
    <row r="5" spans="1:5" ht="13.2" x14ac:dyDescent="0.25">
      <c r="A5" s="1">
        <v>1004</v>
      </c>
      <c r="B5" s="1" t="s">
        <v>26</v>
      </c>
      <c r="C5" s="1" t="s">
        <v>27</v>
      </c>
      <c r="D5" s="1" t="s">
        <v>17</v>
      </c>
      <c r="E5" s="1" t="s">
        <v>18</v>
      </c>
    </row>
    <row r="6" spans="1:5" ht="13.2" x14ac:dyDescent="0.25">
      <c r="A6" s="1">
        <v>1005</v>
      </c>
      <c r="B6" s="1" t="s">
        <v>22</v>
      </c>
      <c r="C6" s="1" t="s">
        <v>28</v>
      </c>
      <c r="D6" s="1" t="s">
        <v>17</v>
      </c>
      <c r="E6" s="1" t="s">
        <v>24</v>
      </c>
    </row>
    <row r="7" spans="1:5" ht="13.2" x14ac:dyDescent="0.25">
      <c r="A7" s="1">
        <v>1006</v>
      </c>
      <c r="B7" s="1" t="s">
        <v>15</v>
      </c>
      <c r="C7" s="1" t="s">
        <v>28</v>
      </c>
      <c r="D7" s="1" t="s">
        <v>23</v>
      </c>
      <c r="E7" s="1" t="s">
        <v>29</v>
      </c>
    </row>
    <row r="8" spans="1:5" ht="13.2" x14ac:dyDescent="0.25">
      <c r="A8" s="1">
        <v>1007</v>
      </c>
      <c r="B8" s="1" t="s">
        <v>30</v>
      </c>
      <c r="C8" s="1" t="s">
        <v>16</v>
      </c>
      <c r="D8" s="1" t="s">
        <v>23</v>
      </c>
      <c r="E8" s="1" t="s">
        <v>24</v>
      </c>
    </row>
    <row r="9" spans="1:5" ht="13.2" x14ac:dyDescent="0.25">
      <c r="A9" s="1">
        <v>1008</v>
      </c>
      <c r="B9" s="1" t="s">
        <v>19</v>
      </c>
      <c r="C9" s="1" t="s">
        <v>27</v>
      </c>
      <c r="D9" s="1" t="s">
        <v>21</v>
      </c>
      <c r="E9" s="1" t="s">
        <v>29</v>
      </c>
    </row>
    <row r="10" spans="1:5" ht="13.2" x14ac:dyDescent="0.25">
      <c r="A10" s="1">
        <v>1009</v>
      </c>
      <c r="B10" s="1" t="s">
        <v>31</v>
      </c>
      <c r="C10" s="1" t="s">
        <v>28</v>
      </c>
      <c r="D10" s="1" t="s">
        <v>17</v>
      </c>
      <c r="E10" s="1" t="s">
        <v>29</v>
      </c>
    </row>
    <row r="11" spans="1:5" ht="13.2" x14ac:dyDescent="0.25">
      <c r="A11" s="1">
        <v>1010</v>
      </c>
      <c r="B11" s="1" t="s">
        <v>32</v>
      </c>
      <c r="C11" s="1" t="s">
        <v>33</v>
      </c>
      <c r="D11" s="1" t="s">
        <v>17</v>
      </c>
      <c r="E11" s="1" t="s">
        <v>24</v>
      </c>
    </row>
    <row r="12" spans="1:5" ht="13.2" x14ac:dyDescent="0.25">
      <c r="A12" s="1">
        <v>1011</v>
      </c>
      <c r="B12" s="1" t="s">
        <v>30</v>
      </c>
      <c r="C12" s="1" t="s">
        <v>27</v>
      </c>
      <c r="D12" s="1" t="s">
        <v>21</v>
      </c>
      <c r="E12" s="1" t="s">
        <v>29</v>
      </c>
    </row>
    <row r="13" spans="1:5" ht="13.2" x14ac:dyDescent="0.25">
      <c r="A13" s="1">
        <v>1012</v>
      </c>
      <c r="B13" s="1" t="s">
        <v>34</v>
      </c>
      <c r="C13" s="1" t="s">
        <v>20</v>
      </c>
      <c r="D13" s="1" t="s">
        <v>17</v>
      </c>
      <c r="E13" s="1" t="s">
        <v>18</v>
      </c>
    </row>
    <row r="14" spans="1:5" ht="13.2" x14ac:dyDescent="0.25">
      <c r="A14" s="1">
        <v>1013</v>
      </c>
      <c r="B14" s="1" t="s">
        <v>19</v>
      </c>
      <c r="C14" s="1" t="s">
        <v>28</v>
      </c>
      <c r="D14" s="1" t="s">
        <v>21</v>
      </c>
      <c r="E14" s="1" t="s">
        <v>24</v>
      </c>
    </row>
    <row r="15" spans="1:5" ht="13.2" x14ac:dyDescent="0.25">
      <c r="A15" s="1">
        <v>1014</v>
      </c>
      <c r="B15" s="1" t="s">
        <v>22</v>
      </c>
      <c r="C15" s="1" t="s">
        <v>28</v>
      </c>
      <c r="D15" s="1" t="s">
        <v>23</v>
      </c>
      <c r="E15" s="1" t="s">
        <v>24</v>
      </c>
    </row>
    <row r="16" spans="1:5" ht="13.2" x14ac:dyDescent="0.25">
      <c r="A16" s="1">
        <v>1015</v>
      </c>
      <c r="B16" s="1" t="s">
        <v>26</v>
      </c>
      <c r="C16" s="1" t="s">
        <v>33</v>
      </c>
      <c r="D16" s="1" t="s">
        <v>23</v>
      </c>
      <c r="E16" s="1" t="s">
        <v>29</v>
      </c>
    </row>
    <row r="17" spans="1:5" ht="13.2" x14ac:dyDescent="0.25">
      <c r="A17" s="1">
        <v>1016</v>
      </c>
      <c r="B17" s="1" t="s">
        <v>35</v>
      </c>
      <c r="C17" s="1" t="s">
        <v>33</v>
      </c>
      <c r="D17" s="1" t="s">
        <v>23</v>
      </c>
      <c r="E17" s="1" t="s">
        <v>29</v>
      </c>
    </row>
    <row r="18" spans="1:5" ht="13.2" x14ac:dyDescent="0.25">
      <c r="A18" s="1">
        <v>1017</v>
      </c>
      <c r="B18" s="1" t="s">
        <v>36</v>
      </c>
      <c r="C18" s="1" t="s">
        <v>28</v>
      </c>
      <c r="D18" s="1" t="s">
        <v>21</v>
      </c>
      <c r="E18" s="1" t="s">
        <v>24</v>
      </c>
    </row>
    <row r="19" spans="1:5" ht="13.2" x14ac:dyDescent="0.25">
      <c r="A19" s="1">
        <v>1018</v>
      </c>
      <c r="B19" s="1" t="s">
        <v>22</v>
      </c>
      <c r="C19" s="1" t="s">
        <v>33</v>
      </c>
      <c r="D19" s="1" t="s">
        <v>23</v>
      </c>
      <c r="E19" s="1" t="s">
        <v>24</v>
      </c>
    </row>
    <row r="20" spans="1:5" ht="13.2" x14ac:dyDescent="0.25">
      <c r="A20" s="1">
        <v>1019</v>
      </c>
      <c r="B20" s="1" t="s">
        <v>19</v>
      </c>
      <c r="C20" s="1" t="s">
        <v>16</v>
      </c>
      <c r="D20" s="1" t="s">
        <v>23</v>
      </c>
      <c r="E20" s="1" t="s">
        <v>29</v>
      </c>
    </row>
    <row r="21" spans="1:5" ht="13.2" x14ac:dyDescent="0.25">
      <c r="A21" s="1">
        <v>1020</v>
      </c>
      <c r="B21" s="1" t="s">
        <v>34</v>
      </c>
      <c r="C21" s="1" t="s">
        <v>28</v>
      </c>
      <c r="D21" s="1" t="s">
        <v>17</v>
      </c>
      <c r="E21" s="1" t="s">
        <v>24</v>
      </c>
    </row>
    <row r="22" spans="1:5" ht="13.2" x14ac:dyDescent="0.25">
      <c r="A22" s="1">
        <v>1021</v>
      </c>
      <c r="B22" s="1" t="s">
        <v>19</v>
      </c>
      <c r="C22" s="1" t="s">
        <v>28</v>
      </c>
      <c r="D22" s="1" t="s">
        <v>23</v>
      </c>
      <c r="E22" s="1" t="s">
        <v>29</v>
      </c>
    </row>
    <row r="23" spans="1:5" ht="13.2" x14ac:dyDescent="0.25">
      <c r="A23" s="1">
        <v>1022</v>
      </c>
      <c r="B23" s="1" t="s">
        <v>31</v>
      </c>
      <c r="C23" s="1" t="s">
        <v>16</v>
      </c>
      <c r="D23" s="1" t="s">
        <v>23</v>
      </c>
      <c r="E23" s="1" t="s">
        <v>29</v>
      </c>
    </row>
    <row r="24" spans="1:5" ht="13.2" x14ac:dyDescent="0.25">
      <c r="A24" s="1">
        <v>1023</v>
      </c>
      <c r="B24" s="1" t="s">
        <v>15</v>
      </c>
      <c r="C24" s="1" t="s">
        <v>27</v>
      </c>
      <c r="D24" s="1" t="s">
        <v>21</v>
      </c>
      <c r="E24" s="1" t="s">
        <v>29</v>
      </c>
    </row>
    <row r="25" spans="1:5" ht="13.2" x14ac:dyDescent="0.25">
      <c r="A25" s="1">
        <v>1024</v>
      </c>
      <c r="B25" s="1" t="s">
        <v>35</v>
      </c>
      <c r="C25" s="1" t="s">
        <v>16</v>
      </c>
      <c r="D25" s="1" t="s">
        <v>23</v>
      </c>
      <c r="E25" s="1" t="s">
        <v>29</v>
      </c>
    </row>
    <row r="26" spans="1:5" ht="13.2" x14ac:dyDescent="0.25">
      <c r="A26" s="1">
        <v>1025</v>
      </c>
      <c r="B26" s="1" t="s">
        <v>35</v>
      </c>
      <c r="C26" s="1" t="s">
        <v>20</v>
      </c>
      <c r="D26" s="1" t="s">
        <v>17</v>
      </c>
      <c r="E26" s="1" t="s">
        <v>18</v>
      </c>
    </row>
    <row r="27" spans="1:5" ht="13.2" x14ac:dyDescent="0.25">
      <c r="A27" s="1">
        <v>1026</v>
      </c>
      <c r="B27" s="1" t="s">
        <v>35</v>
      </c>
      <c r="C27" s="1" t="s">
        <v>27</v>
      </c>
      <c r="D27" s="1" t="s">
        <v>17</v>
      </c>
      <c r="E27" s="1" t="s">
        <v>18</v>
      </c>
    </row>
    <row r="28" spans="1:5" ht="13.2" x14ac:dyDescent="0.25">
      <c r="A28" s="1">
        <v>1027</v>
      </c>
      <c r="B28" s="1" t="s">
        <v>26</v>
      </c>
      <c r="C28" s="1" t="s">
        <v>20</v>
      </c>
      <c r="D28" s="1" t="s">
        <v>21</v>
      </c>
      <c r="E28" s="1" t="s">
        <v>29</v>
      </c>
    </row>
    <row r="29" spans="1:5" ht="13.2" x14ac:dyDescent="0.25">
      <c r="A29" s="1">
        <v>1028</v>
      </c>
      <c r="B29" s="1" t="s">
        <v>15</v>
      </c>
      <c r="C29" s="1" t="s">
        <v>28</v>
      </c>
      <c r="D29" s="1" t="s">
        <v>23</v>
      </c>
      <c r="E29" s="1" t="s">
        <v>29</v>
      </c>
    </row>
    <row r="30" spans="1:5" ht="13.2" x14ac:dyDescent="0.25">
      <c r="A30" s="1">
        <v>1029</v>
      </c>
      <c r="B30" s="1" t="s">
        <v>15</v>
      </c>
      <c r="C30" s="1" t="s">
        <v>27</v>
      </c>
      <c r="D30" s="1" t="s">
        <v>17</v>
      </c>
      <c r="E30" s="1" t="s">
        <v>29</v>
      </c>
    </row>
    <row r="31" spans="1:5" ht="13.2" x14ac:dyDescent="0.25">
      <c r="A31" s="1">
        <v>1030</v>
      </c>
      <c r="B31" s="1" t="s">
        <v>26</v>
      </c>
      <c r="C31" s="1" t="s">
        <v>33</v>
      </c>
      <c r="D31" s="1" t="s">
        <v>23</v>
      </c>
      <c r="E31" s="1" t="s">
        <v>29</v>
      </c>
    </row>
    <row r="32" spans="1:5" ht="13.2" x14ac:dyDescent="0.25">
      <c r="A32" s="1">
        <v>1031</v>
      </c>
      <c r="B32" s="1" t="s">
        <v>31</v>
      </c>
      <c r="C32" s="1" t="s">
        <v>28</v>
      </c>
      <c r="D32" s="1" t="s">
        <v>21</v>
      </c>
      <c r="E32" s="1" t="s">
        <v>18</v>
      </c>
    </row>
    <row r="33" spans="1:5" ht="13.2" x14ac:dyDescent="0.25">
      <c r="A33" s="1">
        <v>1032</v>
      </c>
      <c r="B33" s="1" t="s">
        <v>15</v>
      </c>
      <c r="C33" s="1" t="s">
        <v>27</v>
      </c>
      <c r="D33" s="1" t="s">
        <v>17</v>
      </c>
      <c r="E33" s="1" t="s">
        <v>18</v>
      </c>
    </row>
    <row r="34" spans="1:5" ht="13.2" x14ac:dyDescent="0.25">
      <c r="A34" s="1">
        <v>1033</v>
      </c>
      <c r="B34" s="1" t="s">
        <v>31</v>
      </c>
      <c r="C34" s="1" t="s">
        <v>33</v>
      </c>
      <c r="D34" s="1" t="s">
        <v>21</v>
      </c>
      <c r="E34" s="1" t="s">
        <v>29</v>
      </c>
    </row>
    <row r="35" spans="1:5" ht="13.2" x14ac:dyDescent="0.25">
      <c r="A35" s="1">
        <v>1034</v>
      </c>
      <c r="B35" s="1" t="s">
        <v>32</v>
      </c>
      <c r="C35" s="1" t="s">
        <v>28</v>
      </c>
      <c r="D35" s="1" t="s">
        <v>17</v>
      </c>
      <c r="E35" s="1" t="s">
        <v>18</v>
      </c>
    </row>
    <row r="36" spans="1:5" ht="13.2" x14ac:dyDescent="0.25">
      <c r="A36" s="1">
        <v>1035</v>
      </c>
      <c r="B36" s="1" t="s">
        <v>35</v>
      </c>
      <c r="C36" s="1" t="s">
        <v>33</v>
      </c>
      <c r="D36" s="1" t="s">
        <v>21</v>
      </c>
      <c r="E36" s="1" t="s">
        <v>24</v>
      </c>
    </row>
    <row r="37" spans="1:5" ht="13.2" x14ac:dyDescent="0.25">
      <c r="A37" s="1">
        <v>1036</v>
      </c>
      <c r="B37" s="1" t="s">
        <v>15</v>
      </c>
      <c r="C37" s="1" t="s">
        <v>20</v>
      </c>
      <c r="D37" s="1" t="s">
        <v>21</v>
      </c>
      <c r="E37" s="1" t="s">
        <v>18</v>
      </c>
    </row>
    <row r="38" spans="1:5" ht="13.2" x14ac:dyDescent="0.25">
      <c r="A38" s="1">
        <v>1037</v>
      </c>
      <c r="B38" s="1" t="s">
        <v>32</v>
      </c>
      <c r="C38" s="1" t="s">
        <v>20</v>
      </c>
      <c r="D38" s="1" t="s">
        <v>21</v>
      </c>
      <c r="E38" s="1" t="s">
        <v>29</v>
      </c>
    </row>
    <row r="39" spans="1:5" ht="13.2" x14ac:dyDescent="0.25">
      <c r="A39" s="1">
        <v>1038</v>
      </c>
      <c r="B39" s="1" t="s">
        <v>31</v>
      </c>
      <c r="C39" s="1" t="s">
        <v>27</v>
      </c>
      <c r="D39" s="1" t="s">
        <v>23</v>
      </c>
      <c r="E39" s="1" t="s">
        <v>24</v>
      </c>
    </row>
    <row r="40" spans="1:5" ht="13.2" x14ac:dyDescent="0.25">
      <c r="A40" s="1">
        <v>1039</v>
      </c>
      <c r="B40" s="1" t="s">
        <v>19</v>
      </c>
      <c r="C40" s="1" t="s">
        <v>33</v>
      </c>
      <c r="D40" s="1" t="s">
        <v>23</v>
      </c>
      <c r="E40" s="1" t="s">
        <v>18</v>
      </c>
    </row>
    <row r="41" spans="1:5" ht="13.2" x14ac:dyDescent="0.25">
      <c r="A41" s="1">
        <v>1040</v>
      </c>
      <c r="B41" s="1" t="s">
        <v>26</v>
      </c>
      <c r="C41" s="1" t="s">
        <v>33</v>
      </c>
      <c r="D41" s="1" t="s">
        <v>23</v>
      </c>
      <c r="E41" s="1" t="s">
        <v>24</v>
      </c>
    </row>
    <row r="42" spans="1:5" ht="13.2" x14ac:dyDescent="0.25">
      <c r="A42" s="1">
        <v>1041</v>
      </c>
      <c r="B42" s="1" t="s">
        <v>30</v>
      </c>
      <c r="C42" s="1" t="s">
        <v>33</v>
      </c>
      <c r="D42" s="1" t="s">
        <v>21</v>
      </c>
      <c r="E42" s="1" t="s">
        <v>18</v>
      </c>
    </row>
    <row r="43" spans="1:5" ht="13.2" x14ac:dyDescent="0.25">
      <c r="A43" s="1">
        <v>1042</v>
      </c>
      <c r="B43" s="1" t="s">
        <v>26</v>
      </c>
      <c r="C43" s="1" t="s">
        <v>16</v>
      </c>
      <c r="D43" s="1" t="s">
        <v>17</v>
      </c>
      <c r="E43" s="1" t="s">
        <v>18</v>
      </c>
    </row>
    <row r="44" spans="1:5" ht="13.2" x14ac:dyDescent="0.25">
      <c r="A44" s="1">
        <v>1043</v>
      </c>
      <c r="B44" s="1" t="s">
        <v>15</v>
      </c>
      <c r="C44" s="1" t="s">
        <v>20</v>
      </c>
      <c r="D44" s="1" t="s">
        <v>21</v>
      </c>
      <c r="E44" s="1" t="s">
        <v>18</v>
      </c>
    </row>
    <row r="45" spans="1:5" ht="13.2" x14ac:dyDescent="0.25">
      <c r="A45" s="1">
        <v>1044</v>
      </c>
      <c r="B45" s="1" t="s">
        <v>35</v>
      </c>
      <c r="C45" s="1" t="s">
        <v>27</v>
      </c>
      <c r="D45" s="1" t="s">
        <v>21</v>
      </c>
      <c r="E45" s="1" t="s">
        <v>29</v>
      </c>
    </row>
    <row r="46" spans="1:5" ht="13.2" x14ac:dyDescent="0.25">
      <c r="A46" s="1">
        <v>1045</v>
      </c>
      <c r="B46" s="1" t="s">
        <v>30</v>
      </c>
      <c r="C46" s="1" t="s">
        <v>16</v>
      </c>
      <c r="D46" s="1" t="s">
        <v>17</v>
      </c>
      <c r="E46" s="1" t="s">
        <v>29</v>
      </c>
    </row>
    <row r="47" spans="1:5" ht="13.2" x14ac:dyDescent="0.25">
      <c r="A47" s="1">
        <v>1046</v>
      </c>
      <c r="B47" s="1" t="s">
        <v>30</v>
      </c>
      <c r="C47" s="1" t="s">
        <v>20</v>
      </c>
      <c r="D47" s="1" t="s">
        <v>17</v>
      </c>
      <c r="E47" s="1" t="s">
        <v>29</v>
      </c>
    </row>
    <row r="48" spans="1:5" ht="13.2" x14ac:dyDescent="0.25">
      <c r="A48" s="1">
        <v>1047</v>
      </c>
      <c r="B48" s="1" t="s">
        <v>35</v>
      </c>
      <c r="C48" s="1" t="s">
        <v>20</v>
      </c>
      <c r="D48" s="1" t="s">
        <v>17</v>
      </c>
      <c r="E48" s="1" t="s">
        <v>24</v>
      </c>
    </row>
    <row r="49" spans="1:5" ht="13.2" x14ac:dyDescent="0.25">
      <c r="A49" s="1">
        <v>1048</v>
      </c>
      <c r="B49" s="1" t="s">
        <v>35</v>
      </c>
      <c r="C49" s="1" t="s">
        <v>27</v>
      </c>
      <c r="D49" s="1" t="s">
        <v>23</v>
      </c>
      <c r="E49" s="1" t="s">
        <v>18</v>
      </c>
    </row>
    <row r="50" spans="1:5" ht="13.2" x14ac:dyDescent="0.25">
      <c r="A50" s="1">
        <v>1049</v>
      </c>
      <c r="B50" s="1" t="s">
        <v>26</v>
      </c>
      <c r="C50" s="1" t="s">
        <v>27</v>
      </c>
      <c r="D50" s="1" t="s">
        <v>23</v>
      </c>
      <c r="E50" s="1" t="s">
        <v>24</v>
      </c>
    </row>
    <row r="51" spans="1:5" ht="13.2" x14ac:dyDescent="0.25">
      <c r="A51" s="1">
        <v>1050</v>
      </c>
      <c r="B51" s="1" t="s">
        <v>19</v>
      </c>
      <c r="C51" s="1" t="s">
        <v>27</v>
      </c>
      <c r="D51" s="1" t="s">
        <v>23</v>
      </c>
      <c r="E51" s="1" t="s">
        <v>29</v>
      </c>
    </row>
    <row r="52" spans="1:5" ht="13.2" x14ac:dyDescent="0.25">
      <c r="A52" s="1">
        <v>1051</v>
      </c>
      <c r="B52" s="1" t="s">
        <v>22</v>
      </c>
      <c r="C52" s="1" t="s">
        <v>16</v>
      </c>
      <c r="D52" s="1" t="s">
        <v>21</v>
      </c>
      <c r="E52" s="1" t="s">
        <v>29</v>
      </c>
    </row>
    <row r="53" spans="1:5" ht="13.2" x14ac:dyDescent="0.25">
      <c r="A53" s="1">
        <v>1052</v>
      </c>
      <c r="B53" s="1" t="s">
        <v>34</v>
      </c>
      <c r="C53" s="1" t="s">
        <v>20</v>
      </c>
      <c r="D53" s="1" t="s">
        <v>23</v>
      </c>
      <c r="E53" s="1" t="s">
        <v>18</v>
      </c>
    </row>
    <row r="54" spans="1:5" ht="13.2" x14ac:dyDescent="0.25">
      <c r="A54" s="1">
        <v>1053</v>
      </c>
      <c r="B54" s="1" t="s">
        <v>26</v>
      </c>
      <c r="C54" s="1" t="s">
        <v>33</v>
      </c>
      <c r="D54" s="1" t="s">
        <v>21</v>
      </c>
      <c r="E54" s="1" t="s">
        <v>29</v>
      </c>
    </row>
    <row r="55" spans="1:5" ht="13.2" x14ac:dyDescent="0.25">
      <c r="A55" s="1">
        <v>1054</v>
      </c>
      <c r="B55" s="1" t="s">
        <v>30</v>
      </c>
      <c r="C55" s="1" t="s">
        <v>33</v>
      </c>
      <c r="D55" s="1" t="s">
        <v>21</v>
      </c>
      <c r="E55" s="1" t="s">
        <v>24</v>
      </c>
    </row>
    <row r="56" spans="1:5" ht="13.2" x14ac:dyDescent="0.25">
      <c r="A56" s="1">
        <v>1055</v>
      </c>
      <c r="B56" s="1" t="s">
        <v>30</v>
      </c>
      <c r="C56" s="1" t="s">
        <v>27</v>
      </c>
      <c r="D56" s="1" t="s">
        <v>21</v>
      </c>
      <c r="E56" s="1" t="s">
        <v>24</v>
      </c>
    </row>
    <row r="57" spans="1:5" ht="13.2" x14ac:dyDescent="0.25">
      <c r="A57" s="1">
        <v>1056</v>
      </c>
      <c r="B57" s="1" t="s">
        <v>36</v>
      </c>
      <c r="C57" s="1" t="s">
        <v>27</v>
      </c>
      <c r="D57" s="1" t="s">
        <v>17</v>
      </c>
      <c r="E57" s="1" t="s">
        <v>24</v>
      </c>
    </row>
    <row r="58" spans="1:5" ht="13.2" x14ac:dyDescent="0.25">
      <c r="A58" s="1">
        <v>1057</v>
      </c>
      <c r="B58" s="1" t="s">
        <v>36</v>
      </c>
      <c r="C58" s="1" t="s">
        <v>33</v>
      </c>
      <c r="D58" s="1" t="s">
        <v>21</v>
      </c>
      <c r="E58" s="1" t="s">
        <v>24</v>
      </c>
    </row>
    <row r="59" spans="1:5" ht="13.2" x14ac:dyDescent="0.25">
      <c r="A59" s="1">
        <v>1058</v>
      </c>
      <c r="B59" s="1" t="s">
        <v>19</v>
      </c>
      <c r="C59" s="1" t="s">
        <v>28</v>
      </c>
      <c r="D59" s="1" t="s">
        <v>17</v>
      </c>
      <c r="E59" s="1" t="s">
        <v>18</v>
      </c>
    </row>
    <row r="60" spans="1:5" ht="13.2" x14ac:dyDescent="0.25">
      <c r="A60" s="1">
        <v>1059</v>
      </c>
      <c r="B60" s="1" t="s">
        <v>36</v>
      </c>
      <c r="C60" s="1" t="s">
        <v>28</v>
      </c>
      <c r="D60" s="1" t="s">
        <v>17</v>
      </c>
      <c r="E60" s="1" t="s">
        <v>18</v>
      </c>
    </row>
    <row r="61" spans="1:5" ht="13.2" x14ac:dyDescent="0.25">
      <c r="A61" s="1">
        <v>1060</v>
      </c>
      <c r="B61" s="1" t="s">
        <v>15</v>
      </c>
      <c r="C61" s="1" t="s">
        <v>27</v>
      </c>
      <c r="D61" s="1" t="s">
        <v>17</v>
      </c>
      <c r="E61" s="1" t="s">
        <v>24</v>
      </c>
    </row>
    <row r="62" spans="1:5" ht="13.2" x14ac:dyDescent="0.25">
      <c r="A62" s="1">
        <v>1061</v>
      </c>
      <c r="B62" s="1" t="s">
        <v>22</v>
      </c>
      <c r="C62" s="1" t="s">
        <v>28</v>
      </c>
      <c r="D62" s="1" t="s">
        <v>21</v>
      </c>
      <c r="E62" s="1" t="s">
        <v>29</v>
      </c>
    </row>
    <row r="63" spans="1:5" ht="13.2" x14ac:dyDescent="0.25">
      <c r="A63" s="1">
        <v>1062</v>
      </c>
      <c r="B63" s="1" t="s">
        <v>22</v>
      </c>
      <c r="C63" s="1" t="s">
        <v>33</v>
      </c>
      <c r="D63" s="1" t="s">
        <v>21</v>
      </c>
      <c r="E63" s="1" t="s">
        <v>18</v>
      </c>
    </row>
    <row r="64" spans="1:5" ht="13.2" x14ac:dyDescent="0.25">
      <c r="A64" s="1">
        <v>1063</v>
      </c>
      <c r="B64" s="1" t="s">
        <v>32</v>
      </c>
      <c r="C64" s="1" t="s">
        <v>33</v>
      </c>
      <c r="D64" s="1" t="s">
        <v>21</v>
      </c>
      <c r="E64" s="1" t="s">
        <v>29</v>
      </c>
    </row>
    <row r="65" spans="1:5" ht="13.2" x14ac:dyDescent="0.25">
      <c r="A65" s="1">
        <v>1064</v>
      </c>
      <c r="B65" s="1" t="s">
        <v>32</v>
      </c>
      <c r="C65" s="1" t="s">
        <v>33</v>
      </c>
      <c r="D65" s="1" t="s">
        <v>23</v>
      </c>
      <c r="E65" s="1" t="s">
        <v>29</v>
      </c>
    </row>
    <row r="66" spans="1:5" ht="13.2" x14ac:dyDescent="0.25">
      <c r="A66" s="1">
        <v>1065</v>
      </c>
      <c r="B66" s="1" t="s">
        <v>32</v>
      </c>
      <c r="C66" s="1" t="s">
        <v>28</v>
      </c>
      <c r="D66" s="1" t="s">
        <v>17</v>
      </c>
      <c r="E66" s="1" t="s">
        <v>29</v>
      </c>
    </row>
    <row r="67" spans="1:5" ht="13.2" x14ac:dyDescent="0.25">
      <c r="A67" s="1">
        <v>1066</v>
      </c>
      <c r="B67" s="1" t="s">
        <v>22</v>
      </c>
      <c r="C67" s="1" t="s">
        <v>27</v>
      </c>
      <c r="D67" s="1" t="s">
        <v>17</v>
      </c>
      <c r="E67" s="1" t="s">
        <v>24</v>
      </c>
    </row>
    <row r="68" spans="1:5" ht="13.2" x14ac:dyDescent="0.25">
      <c r="A68" s="1">
        <v>1067</v>
      </c>
      <c r="B68" s="1" t="s">
        <v>26</v>
      </c>
      <c r="C68" s="1" t="s">
        <v>27</v>
      </c>
      <c r="D68" s="1" t="s">
        <v>17</v>
      </c>
      <c r="E68" s="1" t="s">
        <v>18</v>
      </c>
    </row>
    <row r="69" spans="1:5" ht="13.2" x14ac:dyDescent="0.25">
      <c r="A69" s="1">
        <v>1068</v>
      </c>
      <c r="B69" s="1" t="s">
        <v>19</v>
      </c>
      <c r="C69" s="1" t="s">
        <v>28</v>
      </c>
      <c r="D69" s="1" t="s">
        <v>23</v>
      </c>
      <c r="E69" s="1" t="s">
        <v>24</v>
      </c>
    </row>
    <row r="70" spans="1:5" ht="13.2" x14ac:dyDescent="0.25">
      <c r="A70" s="1">
        <v>1069</v>
      </c>
      <c r="B70" s="1" t="s">
        <v>26</v>
      </c>
      <c r="C70" s="1" t="s">
        <v>16</v>
      </c>
      <c r="D70" s="1" t="s">
        <v>21</v>
      </c>
      <c r="E70" s="1" t="s">
        <v>24</v>
      </c>
    </row>
    <row r="71" spans="1:5" ht="13.2" x14ac:dyDescent="0.25">
      <c r="A71" s="1">
        <v>1070</v>
      </c>
      <c r="B71" s="1" t="s">
        <v>31</v>
      </c>
      <c r="C71" s="1" t="s">
        <v>27</v>
      </c>
      <c r="D71" s="1" t="s">
        <v>21</v>
      </c>
      <c r="E71" s="1" t="s">
        <v>24</v>
      </c>
    </row>
    <row r="72" spans="1:5" ht="13.2" x14ac:dyDescent="0.25">
      <c r="A72" s="1">
        <v>1071</v>
      </c>
      <c r="B72" s="1" t="s">
        <v>31</v>
      </c>
      <c r="C72" s="1" t="s">
        <v>28</v>
      </c>
      <c r="D72" s="1" t="s">
        <v>23</v>
      </c>
      <c r="E72" s="1" t="s">
        <v>18</v>
      </c>
    </row>
    <row r="73" spans="1:5" ht="13.2" x14ac:dyDescent="0.25">
      <c r="A73" s="1">
        <v>1072</v>
      </c>
      <c r="B73" s="1" t="s">
        <v>26</v>
      </c>
      <c r="C73" s="1" t="s">
        <v>27</v>
      </c>
      <c r="D73" s="1" t="s">
        <v>21</v>
      </c>
      <c r="E73" s="1" t="s">
        <v>29</v>
      </c>
    </row>
    <row r="74" spans="1:5" ht="13.2" x14ac:dyDescent="0.25">
      <c r="A74" s="1">
        <v>1073</v>
      </c>
      <c r="B74" s="1" t="s">
        <v>22</v>
      </c>
      <c r="C74" s="1" t="s">
        <v>16</v>
      </c>
      <c r="D74" s="1" t="s">
        <v>23</v>
      </c>
      <c r="E74" s="1" t="s">
        <v>18</v>
      </c>
    </row>
    <row r="75" spans="1:5" ht="13.2" x14ac:dyDescent="0.25">
      <c r="A75" s="1">
        <v>1074</v>
      </c>
      <c r="B75" s="1" t="s">
        <v>19</v>
      </c>
      <c r="C75" s="1" t="s">
        <v>28</v>
      </c>
      <c r="D75" s="1" t="s">
        <v>23</v>
      </c>
      <c r="E75" s="1" t="s">
        <v>24</v>
      </c>
    </row>
    <row r="76" spans="1:5" ht="13.2" x14ac:dyDescent="0.25">
      <c r="A76" s="1">
        <v>1075</v>
      </c>
      <c r="B76" s="1" t="s">
        <v>35</v>
      </c>
      <c r="C76" s="1" t="s">
        <v>16</v>
      </c>
      <c r="D76" s="1" t="s">
        <v>23</v>
      </c>
      <c r="E76" s="1" t="s">
        <v>24</v>
      </c>
    </row>
    <row r="77" spans="1:5" ht="13.2" x14ac:dyDescent="0.25">
      <c r="A77" s="1">
        <v>1076</v>
      </c>
      <c r="B77" s="1" t="s">
        <v>36</v>
      </c>
      <c r="C77" s="1" t="s">
        <v>27</v>
      </c>
      <c r="D77" s="1" t="s">
        <v>21</v>
      </c>
      <c r="E77" s="1" t="s">
        <v>29</v>
      </c>
    </row>
    <row r="78" spans="1:5" ht="13.2" x14ac:dyDescent="0.25">
      <c r="A78" s="1">
        <v>1077</v>
      </c>
      <c r="B78" s="1" t="s">
        <v>34</v>
      </c>
      <c r="C78" s="1" t="s">
        <v>33</v>
      </c>
      <c r="D78" s="1" t="s">
        <v>17</v>
      </c>
      <c r="E78" s="1" t="s">
        <v>18</v>
      </c>
    </row>
    <row r="79" spans="1:5" ht="13.2" x14ac:dyDescent="0.25">
      <c r="A79" s="1">
        <v>1078</v>
      </c>
      <c r="B79" s="1" t="s">
        <v>22</v>
      </c>
      <c r="C79" s="1" t="s">
        <v>20</v>
      </c>
      <c r="D79" s="1" t="s">
        <v>17</v>
      </c>
      <c r="E79" s="1" t="s">
        <v>24</v>
      </c>
    </row>
    <row r="80" spans="1:5" ht="13.2" x14ac:dyDescent="0.25">
      <c r="A80" s="1">
        <v>1079</v>
      </c>
      <c r="B80" s="1" t="s">
        <v>19</v>
      </c>
      <c r="C80" s="1" t="s">
        <v>20</v>
      </c>
      <c r="D80" s="1" t="s">
        <v>17</v>
      </c>
      <c r="E80" s="1" t="s">
        <v>24</v>
      </c>
    </row>
    <row r="81" spans="1:5" ht="13.2" x14ac:dyDescent="0.25">
      <c r="A81" s="1">
        <v>1080</v>
      </c>
      <c r="B81" s="1" t="s">
        <v>35</v>
      </c>
      <c r="C81" s="1" t="s">
        <v>33</v>
      </c>
      <c r="D81" s="1" t="s">
        <v>21</v>
      </c>
      <c r="E81" s="1" t="s">
        <v>29</v>
      </c>
    </row>
    <row r="82" spans="1:5" ht="13.2" x14ac:dyDescent="0.25">
      <c r="A82" s="1">
        <v>1081</v>
      </c>
      <c r="B82" s="1" t="s">
        <v>30</v>
      </c>
      <c r="C82" s="1" t="s">
        <v>27</v>
      </c>
      <c r="D82" s="1" t="s">
        <v>21</v>
      </c>
      <c r="E82" s="1" t="s">
        <v>29</v>
      </c>
    </row>
    <row r="83" spans="1:5" ht="13.2" x14ac:dyDescent="0.25">
      <c r="A83" s="1">
        <v>1082</v>
      </c>
      <c r="B83" s="1" t="s">
        <v>19</v>
      </c>
      <c r="C83" s="1" t="s">
        <v>27</v>
      </c>
      <c r="D83" s="1" t="s">
        <v>23</v>
      </c>
      <c r="E83" s="1" t="s">
        <v>18</v>
      </c>
    </row>
    <row r="84" spans="1:5" ht="13.2" x14ac:dyDescent="0.25">
      <c r="A84" s="1">
        <v>1083</v>
      </c>
      <c r="B84" s="1" t="s">
        <v>15</v>
      </c>
      <c r="C84" s="1" t="s">
        <v>28</v>
      </c>
      <c r="D84" s="1" t="s">
        <v>23</v>
      </c>
      <c r="E84" s="1" t="s">
        <v>29</v>
      </c>
    </row>
    <row r="85" spans="1:5" ht="13.2" x14ac:dyDescent="0.25">
      <c r="A85" s="1">
        <v>1084</v>
      </c>
      <c r="B85" s="1" t="s">
        <v>35</v>
      </c>
      <c r="C85" s="1" t="s">
        <v>33</v>
      </c>
      <c r="D85" s="1" t="s">
        <v>17</v>
      </c>
      <c r="E85" s="1" t="s">
        <v>29</v>
      </c>
    </row>
    <row r="86" spans="1:5" ht="13.2" x14ac:dyDescent="0.25">
      <c r="A86" s="1">
        <v>1085</v>
      </c>
      <c r="B86" s="1" t="s">
        <v>34</v>
      </c>
      <c r="C86" s="1" t="s">
        <v>20</v>
      </c>
      <c r="D86" s="1" t="s">
        <v>21</v>
      </c>
      <c r="E86" s="1" t="s">
        <v>29</v>
      </c>
    </row>
    <row r="87" spans="1:5" ht="13.2" x14ac:dyDescent="0.25">
      <c r="A87" s="1">
        <v>1086</v>
      </c>
      <c r="B87" s="1" t="s">
        <v>30</v>
      </c>
      <c r="C87" s="1" t="s">
        <v>27</v>
      </c>
      <c r="D87" s="1" t="s">
        <v>23</v>
      </c>
      <c r="E87" s="1" t="s">
        <v>29</v>
      </c>
    </row>
    <row r="88" spans="1:5" ht="13.2" x14ac:dyDescent="0.25">
      <c r="A88" s="1">
        <v>1087</v>
      </c>
      <c r="B88" s="1" t="s">
        <v>32</v>
      </c>
      <c r="C88" s="1" t="s">
        <v>28</v>
      </c>
      <c r="D88" s="1" t="s">
        <v>23</v>
      </c>
      <c r="E88" s="1" t="s">
        <v>24</v>
      </c>
    </row>
    <row r="89" spans="1:5" ht="13.2" x14ac:dyDescent="0.25">
      <c r="A89" s="1">
        <v>1088</v>
      </c>
      <c r="B89" s="1" t="s">
        <v>22</v>
      </c>
      <c r="C89" s="1" t="s">
        <v>20</v>
      </c>
      <c r="D89" s="1" t="s">
        <v>17</v>
      </c>
      <c r="E89" s="1" t="s">
        <v>24</v>
      </c>
    </row>
    <row r="90" spans="1:5" ht="13.2" x14ac:dyDescent="0.25">
      <c r="A90" s="1">
        <v>1089</v>
      </c>
      <c r="B90" s="1" t="s">
        <v>31</v>
      </c>
      <c r="C90" s="1" t="s">
        <v>16</v>
      </c>
      <c r="D90" s="1" t="s">
        <v>21</v>
      </c>
      <c r="E90" s="1" t="s">
        <v>24</v>
      </c>
    </row>
    <row r="91" spans="1:5" ht="13.2" x14ac:dyDescent="0.25">
      <c r="A91" s="1">
        <v>1090</v>
      </c>
      <c r="B91" s="1" t="s">
        <v>31</v>
      </c>
      <c r="C91" s="1" t="s">
        <v>33</v>
      </c>
      <c r="D91" s="1" t="s">
        <v>21</v>
      </c>
      <c r="E91" s="1" t="s">
        <v>29</v>
      </c>
    </row>
    <row r="92" spans="1:5" ht="13.2" x14ac:dyDescent="0.25">
      <c r="A92" s="1">
        <v>1091</v>
      </c>
      <c r="B92" s="1" t="s">
        <v>30</v>
      </c>
      <c r="C92" s="1" t="s">
        <v>20</v>
      </c>
      <c r="D92" s="1" t="s">
        <v>23</v>
      </c>
      <c r="E92" s="1" t="s">
        <v>18</v>
      </c>
    </row>
    <row r="93" spans="1:5" ht="13.2" x14ac:dyDescent="0.25">
      <c r="A93" s="1">
        <v>1092</v>
      </c>
      <c r="B93" s="1" t="s">
        <v>31</v>
      </c>
      <c r="C93" s="1" t="s">
        <v>27</v>
      </c>
      <c r="D93" s="1" t="s">
        <v>17</v>
      </c>
      <c r="E93" s="1" t="s">
        <v>24</v>
      </c>
    </row>
    <row r="94" spans="1:5" ht="13.2" x14ac:dyDescent="0.25">
      <c r="A94" s="1">
        <v>1093</v>
      </c>
      <c r="B94" s="1" t="s">
        <v>19</v>
      </c>
      <c r="C94" s="1" t="s">
        <v>28</v>
      </c>
      <c r="D94" s="1" t="s">
        <v>21</v>
      </c>
      <c r="E94" s="1" t="s">
        <v>18</v>
      </c>
    </row>
    <row r="95" spans="1:5" ht="13.2" x14ac:dyDescent="0.25">
      <c r="A95" s="1">
        <v>1094</v>
      </c>
      <c r="B95" s="1" t="s">
        <v>15</v>
      </c>
      <c r="C95" s="1" t="s">
        <v>28</v>
      </c>
      <c r="D95" s="1" t="s">
        <v>21</v>
      </c>
      <c r="E95" s="1" t="s">
        <v>24</v>
      </c>
    </row>
    <row r="96" spans="1:5" ht="13.2" x14ac:dyDescent="0.25">
      <c r="A96" s="1">
        <v>1095</v>
      </c>
      <c r="B96" s="1" t="s">
        <v>31</v>
      </c>
      <c r="C96" s="1" t="s">
        <v>28</v>
      </c>
      <c r="D96" s="1" t="s">
        <v>21</v>
      </c>
      <c r="E96" s="1" t="s">
        <v>18</v>
      </c>
    </row>
    <row r="97" spans="1:5" ht="13.2" x14ac:dyDescent="0.25">
      <c r="A97" s="1">
        <v>1096</v>
      </c>
      <c r="B97" s="1" t="s">
        <v>22</v>
      </c>
      <c r="C97" s="1" t="s">
        <v>16</v>
      </c>
      <c r="D97" s="1" t="s">
        <v>17</v>
      </c>
      <c r="E97" s="1" t="s">
        <v>24</v>
      </c>
    </row>
    <row r="98" spans="1:5" ht="13.2" x14ac:dyDescent="0.25">
      <c r="A98" s="1">
        <v>1097</v>
      </c>
      <c r="B98" s="1" t="s">
        <v>34</v>
      </c>
      <c r="C98" s="1" t="s">
        <v>33</v>
      </c>
      <c r="D98" s="1" t="s">
        <v>17</v>
      </c>
      <c r="E98" s="1" t="s">
        <v>29</v>
      </c>
    </row>
    <row r="99" spans="1:5" ht="13.2" x14ac:dyDescent="0.25">
      <c r="A99" s="1">
        <v>1098</v>
      </c>
      <c r="B99" s="1" t="s">
        <v>15</v>
      </c>
      <c r="C99" s="1" t="s">
        <v>28</v>
      </c>
      <c r="D99" s="1" t="s">
        <v>23</v>
      </c>
      <c r="E99" s="1" t="s">
        <v>18</v>
      </c>
    </row>
    <row r="100" spans="1:5" ht="13.2" x14ac:dyDescent="0.25">
      <c r="A100" s="1">
        <v>1099</v>
      </c>
      <c r="B100" s="1" t="s">
        <v>26</v>
      </c>
      <c r="C100" s="1" t="s">
        <v>27</v>
      </c>
      <c r="D100" s="1" t="s">
        <v>23</v>
      </c>
      <c r="E100" s="1" t="s">
        <v>18</v>
      </c>
    </row>
    <row r="101" spans="1:5" ht="13.2" x14ac:dyDescent="0.25">
      <c r="A101" s="1">
        <v>1100</v>
      </c>
      <c r="B101" s="1" t="s">
        <v>30</v>
      </c>
      <c r="C101" s="1" t="s">
        <v>27</v>
      </c>
      <c r="D101" s="1" t="s">
        <v>23</v>
      </c>
      <c r="E101" s="1" t="s">
        <v>18</v>
      </c>
    </row>
    <row r="102" spans="1:5" ht="13.2" x14ac:dyDescent="0.25">
      <c r="A102" s="1">
        <v>1101</v>
      </c>
      <c r="B102" s="1" t="s">
        <v>36</v>
      </c>
      <c r="C102" s="1" t="s">
        <v>33</v>
      </c>
      <c r="D102" s="1" t="s">
        <v>17</v>
      </c>
      <c r="E102" s="1" t="s">
        <v>29</v>
      </c>
    </row>
    <row r="103" spans="1:5" ht="13.2" x14ac:dyDescent="0.25">
      <c r="A103" s="1">
        <v>1102</v>
      </c>
      <c r="B103" s="1" t="s">
        <v>22</v>
      </c>
      <c r="C103" s="1" t="s">
        <v>33</v>
      </c>
      <c r="D103" s="1" t="s">
        <v>21</v>
      </c>
      <c r="E103" s="1" t="s">
        <v>24</v>
      </c>
    </row>
    <row r="104" spans="1:5" ht="13.2" x14ac:dyDescent="0.25">
      <c r="A104" s="1">
        <v>1103</v>
      </c>
      <c r="B104" s="1" t="s">
        <v>26</v>
      </c>
      <c r="C104" s="1" t="s">
        <v>20</v>
      </c>
      <c r="D104" s="1" t="s">
        <v>23</v>
      </c>
      <c r="E104" s="1" t="s">
        <v>18</v>
      </c>
    </row>
    <row r="105" spans="1:5" ht="13.2" x14ac:dyDescent="0.25">
      <c r="A105" s="1">
        <v>1104</v>
      </c>
      <c r="B105" s="1" t="s">
        <v>35</v>
      </c>
      <c r="C105" s="1" t="s">
        <v>20</v>
      </c>
      <c r="D105" s="1" t="s">
        <v>21</v>
      </c>
      <c r="E105" s="1" t="s">
        <v>24</v>
      </c>
    </row>
    <row r="106" spans="1:5" ht="13.2" x14ac:dyDescent="0.25">
      <c r="A106" s="1">
        <v>1105</v>
      </c>
      <c r="B106" s="1" t="s">
        <v>30</v>
      </c>
      <c r="C106" s="1" t="s">
        <v>20</v>
      </c>
      <c r="D106" s="1" t="s">
        <v>17</v>
      </c>
      <c r="E106" s="1" t="s">
        <v>24</v>
      </c>
    </row>
    <row r="107" spans="1:5" ht="13.2" x14ac:dyDescent="0.25">
      <c r="A107" s="1">
        <v>1106</v>
      </c>
      <c r="B107" s="1" t="s">
        <v>32</v>
      </c>
      <c r="C107" s="1" t="s">
        <v>33</v>
      </c>
      <c r="D107" s="1" t="s">
        <v>21</v>
      </c>
      <c r="E107" s="1" t="s">
        <v>18</v>
      </c>
    </row>
    <row r="108" spans="1:5" ht="13.2" x14ac:dyDescent="0.25">
      <c r="A108" s="1">
        <v>1107</v>
      </c>
      <c r="B108" s="1" t="s">
        <v>35</v>
      </c>
      <c r="C108" s="1" t="s">
        <v>16</v>
      </c>
      <c r="D108" s="1" t="s">
        <v>23</v>
      </c>
      <c r="E108" s="1" t="s">
        <v>29</v>
      </c>
    </row>
    <row r="109" spans="1:5" ht="13.2" x14ac:dyDescent="0.25">
      <c r="A109" s="1">
        <v>1108</v>
      </c>
      <c r="B109" s="1" t="s">
        <v>30</v>
      </c>
      <c r="C109" s="1" t="s">
        <v>27</v>
      </c>
      <c r="D109" s="1" t="s">
        <v>21</v>
      </c>
      <c r="E109" s="1" t="s">
        <v>18</v>
      </c>
    </row>
    <row r="110" spans="1:5" ht="13.2" x14ac:dyDescent="0.25">
      <c r="A110" s="1">
        <v>1109</v>
      </c>
      <c r="B110" s="1" t="s">
        <v>15</v>
      </c>
      <c r="C110" s="1" t="s">
        <v>33</v>
      </c>
      <c r="D110" s="1" t="s">
        <v>23</v>
      </c>
      <c r="E110" s="1" t="s">
        <v>18</v>
      </c>
    </row>
    <row r="111" spans="1:5" ht="13.2" x14ac:dyDescent="0.25">
      <c r="A111" s="1">
        <v>1110</v>
      </c>
      <c r="B111" s="1" t="s">
        <v>34</v>
      </c>
      <c r="C111" s="1" t="s">
        <v>27</v>
      </c>
      <c r="D111" s="1" t="s">
        <v>23</v>
      </c>
      <c r="E111" s="1" t="s">
        <v>24</v>
      </c>
    </row>
    <row r="112" spans="1:5" ht="13.2" x14ac:dyDescent="0.25">
      <c r="A112" s="1">
        <v>1111</v>
      </c>
      <c r="B112" s="1" t="s">
        <v>22</v>
      </c>
      <c r="C112" s="1" t="s">
        <v>33</v>
      </c>
      <c r="D112" s="1" t="s">
        <v>23</v>
      </c>
      <c r="E112" s="1" t="s">
        <v>29</v>
      </c>
    </row>
    <row r="113" spans="1:5" ht="13.2" x14ac:dyDescent="0.25">
      <c r="A113" s="1">
        <v>1112</v>
      </c>
      <c r="B113" s="1" t="s">
        <v>22</v>
      </c>
      <c r="C113" s="1" t="s">
        <v>20</v>
      </c>
      <c r="D113" s="1" t="s">
        <v>23</v>
      </c>
      <c r="E113" s="1" t="s">
        <v>24</v>
      </c>
    </row>
    <row r="114" spans="1:5" ht="13.2" x14ac:dyDescent="0.25">
      <c r="A114" s="1">
        <v>1113</v>
      </c>
      <c r="B114" s="1" t="s">
        <v>15</v>
      </c>
      <c r="C114" s="1" t="s">
        <v>33</v>
      </c>
      <c r="D114" s="1" t="s">
        <v>21</v>
      </c>
      <c r="E114" s="1" t="s">
        <v>24</v>
      </c>
    </row>
    <row r="115" spans="1:5" ht="13.2" x14ac:dyDescent="0.25">
      <c r="A115" s="1">
        <v>1114</v>
      </c>
      <c r="B115" s="1" t="s">
        <v>26</v>
      </c>
      <c r="C115" s="1" t="s">
        <v>20</v>
      </c>
      <c r="D115" s="1" t="s">
        <v>21</v>
      </c>
      <c r="E115" s="1" t="s">
        <v>18</v>
      </c>
    </row>
    <row r="116" spans="1:5" ht="13.2" x14ac:dyDescent="0.25">
      <c r="A116" s="1">
        <v>1115</v>
      </c>
      <c r="B116" s="1" t="s">
        <v>31</v>
      </c>
      <c r="C116" s="1" t="s">
        <v>20</v>
      </c>
      <c r="D116" s="1" t="s">
        <v>23</v>
      </c>
      <c r="E116" s="1" t="s">
        <v>24</v>
      </c>
    </row>
    <row r="117" spans="1:5" ht="13.2" x14ac:dyDescent="0.25">
      <c r="A117" s="1">
        <v>1116</v>
      </c>
      <c r="B117" s="1" t="s">
        <v>15</v>
      </c>
      <c r="C117" s="1" t="s">
        <v>33</v>
      </c>
      <c r="D117" s="1" t="s">
        <v>21</v>
      </c>
      <c r="E117" s="1" t="s">
        <v>29</v>
      </c>
    </row>
    <row r="118" spans="1:5" ht="13.2" x14ac:dyDescent="0.25">
      <c r="A118" s="1">
        <v>1117</v>
      </c>
      <c r="B118" s="1" t="s">
        <v>35</v>
      </c>
      <c r="C118" s="1" t="s">
        <v>28</v>
      </c>
      <c r="D118" s="1" t="s">
        <v>21</v>
      </c>
      <c r="E118" s="1" t="s">
        <v>24</v>
      </c>
    </row>
    <row r="119" spans="1:5" ht="13.2" x14ac:dyDescent="0.25">
      <c r="A119" s="1">
        <v>1118</v>
      </c>
      <c r="B119" s="1" t="s">
        <v>31</v>
      </c>
      <c r="C119" s="1" t="s">
        <v>33</v>
      </c>
      <c r="D119" s="1" t="s">
        <v>21</v>
      </c>
      <c r="E119" s="1" t="s">
        <v>29</v>
      </c>
    </row>
    <row r="120" spans="1:5" ht="13.2" x14ac:dyDescent="0.25">
      <c r="A120" s="1">
        <v>1119</v>
      </c>
      <c r="B120" s="1" t="s">
        <v>15</v>
      </c>
      <c r="C120" s="1" t="s">
        <v>27</v>
      </c>
      <c r="D120" s="1" t="s">
        <v>23</v>
      </c>
      <c r="E120" s="1" t="s">
        <v>29</v>
      </c>
    </row>
    <row r="121" spans="1:5" ht="13.2" x14ac:dyDescent="0.25">
      <c r="A121" s="1">
        <v>1120</v>
      </c>
      <c r="B121" s="1" t="s">
        <v>22</v>
      </c>
      <c r="C121" s="1" t="s">
        <v>33</v>
      </c>
      <c r="D121" s="1" t="s">
        <v>17</v>
      </c>
      <c r="E121" s="1" t="s">
        <v>29</v>
      </c>
    </row>
    <row r="122" spans="1:5" ht="13.2" x14ac:dyDescent="0.25">
      <c r="A122" s="1">
        <v>1121</v>
      </c>
      <c r="B122" s="1" t="s">
        <v>22</v>
      </c>
      <c r="C122" s="1" t="s">
        <v>33</v>
      </c>
      <c r="D122" s="1" t="s">
        <v>23</v>
      </c>
      <c r="E122" s="1" t="s">
        <v>18</v>
      </c>
    </row>
    <row r="123" spans="1:5" ht="13.2" x14ac:dyDescent="0.25">
      <c r="A123" s="1">
        <v>1122</v>
      </c>
      <c r="B123" s="1" t="s">
        <v>32</v>
      </c>
      <c r="C123" s="1" t="s">
        <v>16</v>
      </c>
      <c r="D123" s="1" t="s">
        <v>23</v>
      </c>
      <c r="E123" s="1" t="s">
        <v>29</v>
      </c>
    </row>
    <row r="124" spans="1:5" ht="13.2" x14ac:dyDescent="0.25">
      <c r="A124" s="1">
        <v>1123</v>
      </c>
      <c r="B124" s="1" t="s">
        <v>30</v>
      </c>
      <c r="C124" s="1" t="s">
        <v>27</v>
      </c>
      <c r="D124" s="1" t="s">
        <v>17</v>
      </c>
      <c r="E124" s="1" t="s">
        <v>24</v>
      </c>
    </row>
    <row r="125" spans="1:5" ht="13.2" x14ac:dyDescent="0.25">
      <c r="A125" s="1">
        <v>1124</v>
      </c>
      <c r="B125" s="1" t="s">
        <v>32</v>
      </c>
      <c r="C125" s="1" t="s">
        <v>16</v>
      </c>
      <c r="D125" s="1" t="s">
        <v>23</v>
      </c>
      <c r="E125" s="1" t="s">
        <v>18</v>
      </c>
    </row>
    <row r="126" spans="1:5" ht="13.2" x14ac:dyDescent="0.25">
      <c r="A126" s="1">
        <v>1125</v>
      </c>
      <c r="B126" s="1" t="s">
        <v>19</v>
      </c>
      <c r="C126" s="1" t="s">
        <v>20</v>
      </c>
      <c r="D126" s="1" t="s">
        <v>17</v>
      </c>
      <c r="E126" s="1" t="s">
        <v>29</v>
      </c>
    </row>
    <row r="127" spans="1:5" ht="13.2" x14ac:dyDescent="0.25">
      <c r="A127" s="1">
        <v>1126</v>
      </c>
      <c r="B127" s="1" t="s">
        <v>22</v>
      </c>
      <c r="C127" s="1" t="s">
        <v>16</v>
      </c>
      <c r="D127" s="1" t="s">
        <v>23</v>
      </c>
      <c r="E127" s="1" t="s">
        <v>24</v>
      </c>
    </row>
    <row r="128" spans="1:5" ht="13.2" x14ac:dyDescent="0.25">
      <c r="A128" s="1">
        <v>1127</v>
      </c>
      <c r="B128" s="1" t="s">
        <v>32</v>
      </c>
      <c r="C128" s="1" t="s">
        <v>33</v>
      </c>
      <c r="D128" s="1" t="s">
        <v>23</v>
      </c>
      <c r="E128" s="1" t="s">
        <v>24</v>
      </c>
    </row>
    <row r="129" spans="1:5" ht="13.2" x14ac:dyDescent="0.25">
      <c r="A129" s="1">
        <v>1128</v>
      </c>
      <c r="B129" s="1" t="s">
        <v>26</v>
      </c>
      <c r="C129" s="1" t="s">
        <v>33</v>
      </c>
      <c r="D129" s="1" t="s">
        <v>23</v>
      </c>
      <c r="E129" s="1" t="s">
        <v>29</v>
      </c>
    </row>
    <row r="130" spans="1:5" ht="13.2" x14ac:dyDescent="0.25">
      <c r="A130" s="1">
        <v>1129</v>
      </c>
      <c r="B130" s="1" t="s">
        <v>36</v>
      </c>
      <c r="C130" s="1" t="s">
        <v>28</v>
      </c>
      <c r="D130" s="1" t="s">
        <v>17</v>
      </c>
      <c r="E130" s="1" t="s">
        <v>24</v>
      </c>
    </row>
    <row r="131" spans="1:5" ht="13.2" x14ac:dyDescent="0.25">
      <c r="A131" s="1">
        <v>1130</v>
      </c>
      <c r="B131" s="1" t="s">
        <v>19</v>
      </c>
      <c r="C131" s="1" t="s">
        <v>33</v>
      </c>
      <c r="D131" s="1" t="s">
        <v>23</v>
      </c>
      <c r="E131" s="1" t="s">
        <v>24</v>
      </c>
    </row>
    <row r="132" spans="1:5" ht="13.2" x14ac:dyDescent="0.25">
      <c r="A132" s="1">
        <v>1131</v>
      </c>
      <c r="B132" s="1" t="s">
        <v>26</v>
      </c>
      <c r="C132" s="1" t="s">
        <v>16</v>
      </c>
      <c r="D132" s="1" t="s">
        <v>21</v>
      </c>
      <c r="E132" s="1" t="s">
        <v>24</v>
      </c>
    </row>
    <row r="133" spans="1:5" ht="13.2" x14ac:dyDescent="0.25">
      <c r="A133" s="1">
        <v>1132</v>
      </c>
      <c r="B133" s="1" t="s">
        <v>35</v>
      </c>
      <c r="C133" s="1" t="s">
        <v>28</v>
      </c>
      <c r="D133" s="1" t="s">
        <v>21</v>
      </c>
      <c r="E133" s="1" t="s">
        <v>29</v>
      </c>
    </row>
    <row r="134" spans="1:5" ht="13.2" x14ac:dyDescent="0.25">
      <c r="A134" s="1">
        <v>1133</v>
      </c>
      <c r="B134" s="1" t="s">
        <v>36</v>
      </c>
      <c r="C134" s="1" t="s">
        <v>20</v>
      </c>
      <c r="D134" s="1" t="s">
        <v>21</v>
      </c>
      <c r="E134" s="1" t="s">
        <v>24</v>
      </c>
    </row>
    <row r="135" spans="1:5" ht="13.2" x14ac:dyDescent="0.25">
      <c r="A135" s="1">
        <v>1134</v>
      </c>
      <c r="B135" s="1" t="s">
        <v>15</v>
      </c>
      <c r="C135" s="1" t="s">
        <v>27</v>
      </c>
      <c r="D135" s="1" t="s">
        <v>23</v>
      </c>
      <c r="E135" s="1" t="s">
        <v>18</v>
      </c>
    </row>
    <row r="136" spans="1:5" ht="13.2" x14ac:dyDescent="0.25">
      <c r="A136" s="1">
        <v>1135</v>
      </c>
      <c r="B136" s="1" t="s">
        <v>19</v>
      </c>
      <c r="C136" s="1" t="s">
        <v>20</v>
      </c>
      <c r="D136" s="1" t="s">
        <v>21</v>
      </c>
      <c r="E136" s="1" t="s">
        <v>24</v>
      </c>
    </row>
    <row r="137" spans="1:5" ht="13.2" x14ac:dyDescent="0.25">
      <c r="A137" s="1">
        <v>1136</v>
      </c>
      <c r="B137" s="1" t="s">
        <v>36</v>
      </c>
      <c r="C137" s="1" t="s">
        <v>16</v>
      </c>
      <c r="D137" s="1" t="s">
        <v>23</v>
      </c>
      <c r="E137" s="1" t="s">
        <v>24</v>
      </c>
    </row>
    <row r="138" spans="1:5" ht="13.2" x14ac:dyDescent="0.25">
      <c r="A138" s="1">
        <v>1137</v>
      </c>
      <c r="B138" s="1" t="s">
        <v>22</v>
      </c>
      <c r="C138" s="1" t="s">
        <v>33</v>
      </c>
      <c r="D138" s="1" t="s">
        <v>23</v>
      </c>
      <c r="E138" s="1" t="s">
        <v>29</v>
      </c>
    </row>
    <row r="139" spans="1:5" ht="13.2" x14ac:dyDescent="0.25">
      <c r="A139" s="1">
        <v>1138</v>
      </c>
      <c r="B139" s="1" t="s">
        <v>31</v>
      </c>
      <c r="C139" s="1" t="s">
        <v>16</v>
      </c>
      <c r="D139" s="1" t="s">
        <v>23</v>
      </c>
      <c r="E139" s="1" t="s">
        <v>29</v>
      </c>
    </row>
    <row r="140" spans="1:5" ht="13.2" x14ac:dyDescent="0.25">
      <c r="A140" s="1">
        <v>1139</v>
      </c>
      <c r="B140" s="1" t="s">
        <v>34</v>
      </c>
      <c r="C140" s="1" t="s">
        <v>27</v>
      </c>
      <c r="D140" s="1" t="s">
        <v>17</v>
      </c>
      <c r="E140" s="1" t="s">
        <v>29</v>
      </c>
    </row>
    <row r="141" spans="1:5" ht="13.2" x14ac:dyDescent="0.25">
      <c r="A141" s="1">
        <v>1140</v>
      </c>
      <c r="B141" s="1" t="s">
        <v>26</v>
      </c>
      <c r="C141" s="1" t="s">
        <v>28</v>
      </c>
      <c r="D141" s="1" t="s">
        <v>23</v>
      </c>
      <c r="E141" s="1" t="s">
        <v>29</v>
      </c>
    </row>
    <row r="142" spans="1:5" ht="13.2" x14ac:dyDescent="0.25">
      <c r="A142" s="1">
        <v>1141</v>
      </c>
      <c r="B142" s="1" t="s">
        <v>32</v>
      </c>
      <c r="C142" s="1" t="s">
        <v>28</v>
      </c>
      <c r="D142" s="1" t="s">
        <v>21</v>
      </c>
      <c r="E142" s="1" t="s">
        <v>18</v>
      </c>
    </row>
    <row r="143" spans="1:5" ht="13.2" x14ac:dyDescent="0.25">
      <c r="A143" s="1">
        <v>1142</v>
      </c>
      <c r="B143" s="1" t="s">
        <v>30</v>
      </c>
      <c r="C143" s="1" t="s">
        <v>27</v>
      </c>
      <c r="D143" s="1" t="s">
        <v>21</v>
      </c>
      <c r="E143" s="1" t="s">
        <v>18</v>
      </c>
    </row>
    <row r="144" spans="1:5" ht="13.2" x14ac:dyDescent="0.25">
      <c r="A144" s="1">
        <v>1143</v>
      </c>
      <c r="B144" s="1" t="s">
        <v>19</v>
      </c>
      <c r="C144" s="1" t="s">
        <v>28</v>
      </c>
      <c r="D144" s="1" t="s">
        <v>23</v>
      </c>
      <c r="E144" s="1" t="s">
        <v>24</v>
      </c>
    </row>
    <row r="145" spans="1:5" ht="13.2" x14ac:dyDescent="0.25">
      <c r="A145" s="1">
        <v>1144</v>
      </c>
      <c r="B145" s="1" t="s">
        <v>26</v>
      </c>
      <c r="C145" s="1" t="s">
        <v>33</v>
      </c>
      <c r="D145" s="1" t="s">
        <v>21</v>
      </c>
      <c r="E145" s="1" t="s">
        <v>18</v>
      </c>
    </row>
    <row r="146" spans="1:5" ht="13.2" x14ac:dyDescent="0.25">
      <c r="A146" s="1">
        <v>1145</v>
      </c>
      <c r="B146" s="1" t="s">
        <v>35</v>
      </c>
      <c r="C146" s="1" t="s">
        <v>20</v>
      </c>
      <c r="D146" s="1" t="s">
        <v>23</v>
      </c>
      <c r="E146" s="1" t="s">
        <v>18</v>
      </c>
    </row>
    <row r="147" spans="1:5" ht="13.2" x14ac:dyDescent="0.25">
      <c r="A147" s="1">
        <v>1146</v>
      </c>
      <c r="B147" s="1" t="s">
        <v>36</v>
      </c>
      <c r="C147" s="1" t="s">
        <v>28</v>
      </c>
      <c r="D147" s="1" t="s">
        <v>21</v>
      </c>
      <c r="E147" s="1" t="s">
        <v>18</v>
      </c>
    </row>
    <row r="148" spans="1:5" ht="13.2" x14ac:dyDescent="0.25">
      <c r="A148" s="1">
        <v>1147</v>
      </c>
      <c r="B148" s="1" t="s">
        <v>19</v>
      </c>
      <c r="C148" s="1" t="s">
        <v>16</v>
      </c>
      <c r="D148" s="1" t="s">
        <v>17</v>
      </c>
      <c r="E148" s="1" t="s">
        <v>18</v>
      </c>
    </row>
    <row r="149" spans="1:5" ht="13.2" x14ac:dyDescent="0.25">
      <c r="A149" s="1">
        <v>1148</v>
      </c>
      <c r="B149" s="1" t="s">
        <v>30</v>
      </c>
      <c r="C149" s="1" t="s">
        <v>28</v>
      </c>
      <c r="D149" s="1" t="s">
        <v>23</v>
      </c>
      <c r="E149" s="1" t="s">
        <v>18</v>
      </c>
    </row>
    <row r="150" spans="1:5" ht="13.2" x14ac:dyDescent="0.25">
      <c r="A150" s="1">
        <v>1149</v>
      </c>
      <c r="B150" s="1" t="s">
        <v>19</v>
      </c>
      <c r="C150" s="1" t="s">
        <v>28</v>
      </c>
      <c r="D150" s="1" t="s">
        <v>17</v>
      </c>
      <c r="E150" s="1" t="s">
        <v>18</v>
      </c>
    </row>
    <row r="151" spans="1:5" ht="13.2" x14ac:dyDescent="0.25">
      <c r="A151" s="1">
        <v>1150</v>
      </c>
      <c r="B151" s="1" t="s">
        <v>22</v>
      </c>
      <c r="C151" s="1" t="s">
        <v>28</v>
      </c>
      <c r="D151" s="1" t="s">
        <v>23</v>
      </c>
      <c r="E151" s="1" t="s">
        <v>29</v>
      </c>
    </row>
    <row r="152" spans="1:5" ht="13.2" x14ac:dyDescent="0.25">
      <c r="A152" s="1">
        <v>1151</v>
      </c>
      <c r="B152" s="1" t="s">
        <v>22</v>
      </c>
      <c r="C152" s="1" t="s">
        <v>20</v>
      </c>
      <c r="D152" s="1" t="s">
        <v>21</v>
      </c>
      <c r="E152" s="1" t="s">
        <v>29</v>
      </c>
    </row>
    <row r="153" spans="1:5" ht="13.2" x14ac:dyDescent="0.25">
      <c r="A153" s="1">
        <v>1152</v>
      </c>
      <c r="B153" s="1" t="s">
        <v>34</v>
      </c>
      <c r="C153" s="1" t="s">
        <v>27</v>
      </c>
      <c r="D153" s="1" t="s">
        <v>17</v>
      </c>
      <c r="E153" s="1" t="s">
        <v>29</v>
      </c>
    </row>
    <row r="154" spans="1:5" ht="13.2" x14ac:dyDescent="0.25">
      <c r="A154" s="1">
        <v>1153</v>
      </c>
      <c r="B154" s="1" t="s">
        <v>30</v>
      </c>
      <c r="C154" s="1" t="s">
        <v>28</v>
      </c>
      <c r="D154" s="1" t="s">
        <v>17</v>
      </c>
      <c r="E154" s="1" t="s">
        <v>24</v>
      </c>
    </row>
    <row r="155" spans="1:5" ht="13.2" x14ac:dyDescent="0.25">
      <c r="A155" s="1">
        <v>1154</v>
      </c>
      <c r="B155" s="1" t="s">
        <v>19</v>
      </c>
      <c r="C155" s="1" t="s">
        <v>20</v>
      </c>
      <c r="D155" s="1" t="s">
        <v>21</v>
      </c>
      <c r="E155" s="1" t="s">
        <v>29</v>
      </c>
    </row>
    <row r="156" spans="1:5" ht="13.2" x14ac:dyDescent="0.25">
      <c r="A156" s="1">
        <v>1155</v>
      </c>
      <c r="B156" s="1" t="s">
        <v>26</v>
      </c>
      <c r="C156" s="1" t="s">
        <v>27</v>
      </c>
      <c r="D156" s="1" t="s">
        <v>21</v>
      </c>
      <c r="E156" s="1" t="s">
        <v>18</v>
      </c>
    </row>
    <row r="157" spans="1:5" ht="13.2" x14ac:dyDescent="0.25">
      <c r="A157" s="1">
        <v>1156</v>
      </c>
      <c r="B157" s="1" t="s">
        <v>22</v>
      </c>
      <c r="C157" s="1" t="s">
        <v>27</v>
      </c>
      <c r="D157" s="1" t="s">
        <v>21</v>
      </c>
      <c r="E157" s="1" t="s">
        <v>18</v>
      </c>
    </row>
    <row r="158" spans="1:5" ht="13.2" x14ac:dyDescent="0.25">
      <c r="A158" s="1">
        <v>1157</v>
      </c>
      <c r="B158" s="1" t="s">
        <v>36</v>
      </c>
      <c r="C158" s="1" t="s">
        <v>20</v>
      </c>
      <c r="D158" s="1" t="s">
        <v>23</v>
      </c>
      <c r="E158" s="1" t="s">
        <v>29</v>
      </c>
    </row>
    <row r="159" spans="1:5" ht="13.2" x14ac:dyDescent="0.25">
      <c r="A159" s="1">
        <v>1158</v>
      </c>
      <c r="B159" s="1" t="s">
        <v>26</v>
      </c>
      <c r="C159" s="1" t="s">
        <v>27</v>
      </c>
      <c r="D159" s="1" t="s">
        <v>23</v>
      </c>
      <c r="E159" s="1" t="s">
        <v>29</v>
      </c>
    </row>
    <row r="160" spans="1:5" ht="13.2" x14ac:dyDescent="0.25">
      <c r="A160" s="1">
        <v>1159</v>
      </c>
      <c r="B160" s="1" t="s">
        <v>19</v>
      </c>
      <c r="C160" s="1" t="s">
        <v>16</v>
      </c>
      <c r="D160" s="1" t="s">
        <v>21</v>
      </c>
      <c r="E160" s="1" t="s">
        <v>29</v>
      </c>
    </row>
    <row r="161" spans="1:5" ht="13.2" x14ac:dyDescent="0.25">
      <c r="A161" s="1">
        <v>1160</v>
      </c>
      <c r="B161" s="1" t="s">
        <v>32</v>
      </c>
      <c r="C161" s="1" t="s">
        <v>28</v>
      </c>
      <c r="D161" s="1" t="s">
        <v>17</v>
      </c>
      <c r="E161" s="1" t="s">
        <v>24</v>
      </c>
    </row>
    <row r="162" spans="1:5" ht="13.2" x14ac:dyDescent="0.25">
      <c r="A162" s="1">
        <v>1161</v>
      </c>
      <c r="B162" s="1" t="s">
        <v>15</v>
      </c>
      <c r="C162" s="1" t="s">
        <v>27</v>
      </c>
      <c r="D162" s="1" t="s">
        <v>17</v>
      </c>
      <c r="E162" s="1" t="s">
        <v>24</v>
      </c>
    </row>
    <row r="163" spans="1:5" ht="13.2" x14ac:dyDescent="0.25">
      <c r="A163" s="1">
        <v>1162</v>
      </c>
      <c r="B163" s="1" t="s">
        <v>19</v>
      </c>
      <c r="C163" s="1" t="s">
        <v>27</v>
      </c>
      <c r="D163" s="1" t="s">
        <v>23</v>
      </c>
      <c r="E163" s="1" t="s">
        <v>24</v>
      </c>
    </row>
    <row r="164" spans="1:5" ht="13.2" x14ac:dyDescent="0.25">
      <c r="A164" s="1">
        <v>1163</v>
      </c>
      <c r="B164" s="1" t="s">
        <v>31</v>
      </c>
      <c r="C164" s="1" t="s">
        <v>20</v>
      </c>
      <c r="D164" s="1" t="s">
        <v>21</v>
      </c>
      <c r="E164" s="1" t="s">
        <v>24</v>
      </c>
    </row>
    <row r="165" spans="1:5" ht="13.2" x14ac:dyDescent="0.25">
      <c r="A165" s="1">
        <v>1164</v>
      </c>
      <c r="B165" s="1" t="s">
        <v>35</v>
      </c>
      <c r="C165" s="1" t="s">
        <v>16</v>
      </c>
      <c r="D165" s="1" t="s">
        <v>21</v>
      </c>
      <c r="E165" s="1" t="s">
        <v>29</v>
      </c>
    </row>
    <row r="166" spans="1:5" ht="13.2" x14ac:dyDescent="0.25">
      <c r="A166" s="1">
        <v>1165</v>
      </c>
      <c r="B166" s="1" t="s">
        <v>19</v>
      </c>
      <c r="C166" s="1" t="s">
        <v>20</v>
      </c>
      <c r="D166" s="1" t="s">
        <v>17</v>
      </c>
      <c r="E166" s="1" t="s">
        <v>18</v>
      </c>
    </row>
    <row r="167" spans="1:5" ht="13.2" x14ac:dyDescent="0.25">
      <c r="A167" s="1">
        <v>1166</v>
      </c>
      <c r="B167" s="1" t="s">
        <v>26</v>
      </c>
      <c r="C167" s="1" t="s">
        <v>20</v>
      </c>
      <c r="D167" s="1" t="s">
        <v>23</v>
      </c>
      <c r="E167" s="1" t="s">
        <v>18</v>
      </c>
    </row>
    <row r="168" spans="1:5" ht="13.2" x14ac:dyDescent="0.25">
      <c r="A168" s="1">
        <v>1167</v>
      </c>
      <c r="B168" s="1" t="s">
        <v>26</v>
      </c>
      <c r="C168" s="1" t="s">
        <v>33</v>
      </c>
      <c r="D168" s="1" t="s">
        <v>23</v>
      </c>
      <c r="E168" s="1" t="s">
        <v>24</v>
      </c>
    </row>
    <row r="169" spans="1:5" ht="13.2" x14ac:dyDescent="0.25">
      <c r="A169" s="1">
        <v>1168</v>
      </c>
      <c r="B169" s="1" t="s">
        <v>32</v>
      </c>
      <c r="C169" s="1" t="s">
        <v>16</v>
      </c>
      <c r="D169" s="1" t="s">
        <v>17</v>
      </c>
      <c r="E169" s="1" t="s">
        <v>18</v>
      </c>
    </row>
    <row r="170" spans="1:5" ht="13.2" x14ac:dyDescent="0.25">
      <c r="A170" s="1">
        <v>1169</v>
      </c>
      <c r="B170" s="1" t="s">
        <v>35</v>
      </c>
      <c r="C170" s="1" t="s">
        <v>27</v>
      </c>
      <c r="D170" s="1" t="s">
        <v>17</v>
      </c>
      <c r="E170" s="1" t="s">
        <v>18</v>
      </c>
    </row>
    <row r="171" spans="1:5" ht="13.2" x14ac:dyDescent="0.25">
      <c r="A171" s="1">
        <v>1170</v>
      </c>
      <c r="B171" s="1" t="s">
        <v>31</v>
      </c>
      <c r="C171" s="1" t="s">
        <v>27</v>
      </c>
      <c r="D171" s="1" t="s">
        <v>21</v>
      </c>
      <c r="E171" s="1" t="s">
        <v>29</v>
      </c>
    </row>
    <row r="172" spans="1:5" ht="13.2" x14ac:dyDescent="0.25">
      <c r="A172" s="1">
        <v>1171</v>
      </c>
      <c r="B172" s="1" t="s">
        <v>32</v>
      </c>
      <c r="C172" s="1" t="s">
        <v>20</v>
      </c>
      <c r="D172" s="1" t="s">
        <v>21</v>
      </c>
      <c r="E172" s="1" t="s">
        <v>18</v>
      </c>
    </row>
    <row r="173" spans="1:5" ht="13.2" x14ac:dyDescent="0.25">
      <c r="A173" s="1">
        <v>1172</v>
      </c>
      <c r="B173" s="1" t="s">
        <v>31</v>
      </c>
      <c r="C173" s="1" t="s">
        <v>28</v>
      </c>
      <c r="D173" s="1" t="s">
        <v>17</v>
      </c>
      <c r="E173" s="1" t="s">
        <v>29</v>
      </c>
    </row>
    <row r="174" spans="1:5" ht="13.2" x14ac:dyDescent="0.25">
      <c r="A174" s="1">
        <v>1173</v>
      </c>
      <c r="B174" s="1" t="s">
        <v>19</v>
      </c>
      <c r="C174" s="1" t="s">
        <v>28</v>
      </c>
      <c r="D174" s="1" t="s">
        <v>21</v>
      </c>
      <c r="E174" s="1" t="s">
        <v>29</v>
      </c>
    </row>
    <row r="175" spans="1:5" ht="13.2" x14ac:dyDescent="0.25">
      <c r="A175" s="1">
        <v>1174</v>
      </c>
      <c r="B175" s="1" t="s">
        <v>26</v>
      </c>
      <c r="C175" s="1" t="s">
        <v>20</v>
      </c>
      <c r="D175" s="1" t="s">
        <v>23</v>
      </c>
      <c r="E175" s="1" t="s">
        <v>18</v>
      </c>
    </row>
    <row r="176" spans="1:5" ht="13.2" x14ac:dyDescent="0.25">
      <c r="A176" s="1">
        <v>1175</v>
      </c>
      <c r="B176" s="1" t="s">
        <v>26</v>
      </c>
      <c r="C176" s="1" t="s">
        <v>20</v>
      </c>
      <c r="D176" s="1" t="s">
        <v>23</v>
      </c>
      <c r="E176" s="1" t="s">
        <v>29</v>
      </c>
    </row>
    <row r="177" spans="1:5" ht="13.2" x14ac:dyDescent="0.25">
      <c r="A177" s="1">
        <v>1176</v>
      </c>
      <c r="B177" s="1" t="s">
        <v>36</v>
      </c>
      <c r="C177" s="1" t="s">
        <v>28</v>
      </c>
      <c r="D177" s="1" t="s">
        <v>21</v>
      </c>
      <c r="E177" s="1" t="s">
        <v>29</v>
      </c>
    </row>
    <row r="178" spans="1:5" ht="13.2" x14ac:dyDescent="0.25">
      <c r="A178" s="1">
        <v>1177</v>
      </c>
      <c r="B178" s="1" t="s">
        <v>15</v>
      </c>
      <c r="C178" s="1" t="s">
        <v>27</v>
      </c>
      <c r="D178" s="1" t="s">
        <v>21</v>
      </c>
      <c r="E178" s="1" t="s">
        <v>18</v>
      </c>
    </row>
    <row r="179" spans="1:5" ht="13.2" x14ac:dyDescent="0.25">
      <c r="A179" s="1">
        <v>1178</v>
      </c>
      <c r="B179" s="1" t="s">
        <v>26</v>
      </c>
      <c r="C179" s="1" t="s">
        <v>16</v>
      </c>
      <c r="D179" s="1" t="s">
        <v>23</v>
      </c>
      <c r="E179" s="1" t="s">
        <v>18</v>
      </c>
    </row>
    <row r="180" spans="1:5" ht="13.2" x14ac:dyDescent="0.25">
      <c r="A180" s="1">
        <v>1179</v>
      </c>
      <c r="B180" s="1" t="s">
        <v>31</v>
      </c>
      <c r="C180" s="1" t="s">
        <v>20</v>
      </c>
      <c r="D180" s="1" t="s">
        <v>23</v>
      </c>
      <c r="E180" s="1" t="s">
        <v>29</v>
      </c>
    </row>
    <row r="181" spans="1:5" ht="13.2" x14ac:dyDescent="0.25">
      <c r="A181" s="1">
        <v>1180</v>
      </c>
      <c r="B181" s="1" t="s">
        <v>26</v>
      </c>
      <c r="C181" s="1" t="s">
        <v>16</v>
      </c>
      <c r="D181" s="1" t="s">
        <v>21</v>
      </c>
      <c r="E181" s="1" t="s">
        <v>18</v>
      </c>
    </row>
    <row r="182" spans="1:5" ht="13.2" x14ac:dyDescent="0.25">
      <c r="A182" s="1">
        <v>1181</v>
      </c>
      <c r="B182" s="1" t="s">
        <v>32</v>
      </c>
      <c r="C182" s="1" t="s">
        <v>20</v>
      </c>
      <c r="D182" s="1" t="s">
        <v>21</v>
      </c>
      <c r="E182" s="1" t="s">
        <v>18</v>
      </c>
    </row>
    <row r="183" spans="1:5" ht="13.2" x14ac:dyDescent="0.25">
      <c r="A183" s="1">
        <v>1182</v>
      </c>
      <c r="B183" s="1" t="s">
        <v>32</v>
      </c>
      <c r="C183" s="1" t="s">
        <v>27</v>
      </c>
      <c r="D183" s="1" t="s">
        <v>21</v>
      </c>
      <c r="E183" s="1" t="s">
        <v>24</v>
      </c>
    </row>
    <row r="184" spans="1:5" ht="13.2" x14ac:dyDescent="0.25">
      <c r="A184" s="1">
        <v>1183</v>
      </c>
      <c r="B184" s="1" t="s">
        <v>26</v>
      </c>
      <c r="C184" s="1" t="s">
        <v>33</v>
      </c>
      <c r="D184" s="1" t="s">
        <v>17</v>
      </c>
      <c r="E184" s="1" t="s">
        <v>24</v>
      </c>
    </row>
    <row r="185" spans="1:5" ht="13.2" x14ac:dyDescent="0.25">
      <c r="A185" s="1">
        <v>1184</v>
      </c>
      <c r="B185" s="1" t="s">
        <v>32</v>
      </c>
      <c r="C185" s="1" t="s">
        <v>27</v>
      </c>
      <c r="D185" s="1" t="s">
        <v>17</v>
      </c>
      <c r="E185" s="1" t="s">
        <v>29</v>
      </c>
    </row>
    <row r="186" spans="1:5" ht="13.2" x14ac:dyDescent="0.25">
      <c r="A186" s="1">
        <v>1185</v>
      </c>
      <c r="B186" s="1" t="s">
        <v>19</v>
      </c>
      <c r="C186" s="1" t="s">
        <v>33</v>
      </c>
      <c r="D186" s="1" t="s">
        <v>23</v>
      </c>
      <c r="E186" s="1" t="s">
        <v>24</v>
      </c>
    </row>
    <row r="187" spans="1:5" ht="13.2" x14ac:dyDescent="0.25">
      <c r="A187" s="1">
        <v>1186</v>
      </c>
      <c r="B187" s="1" t="s">
        <v>36</v>
      </c>
      <c r="C187" s="1" t="s">
        <v>33</v>
      </c>
      <c r="D187" s="1" t="s">
        <v>21</v>
      </c>
      <c r="E187" s="1" t="s">
        <v>18</v>
      </c>
    </row>
    <row r="188" spans="1:5" ht="13.2" x14ac:dyDescent="0.25">
      <c r="A188" s="1">
        <v>1187</v>
      </c>
      <c r="B188" s="1" t="s">
        <v>32</v>
      </c>
      <c r="C188" s="1" t="s">
        <v>16</v>
      </c>
      <c r="D188" s="1" t="s">
        <v>17</v>
      </c>
      <c r="E188" s="1" t="s">
        <v>24</v>
      </c>
    </row>
    <row r="189" spans="1:5" ht="13.2" x14ac:dyDescent="0.25">
      <c r="A189" s="1">
        <v>1188</v>
      </c>
      <c r="B189" s="1" t="s">
        <v>31</v>
      </c>
      <c r="C189" s="1" t="s">
        <v>27</v>
      </c>
      <c r="D189" s="1" t="s">
        <v>21</v>
      </c>
      <c r="E189" s="1" t="s">
        <v>18</v>
      </c>
    </row>
    <row r="190" spans="1:5" ht="13.2" x14ac:dyDescent="0.25">
      <c r="A190" s="1">
        <v>1189</v>
      </c>
      <c r="B190" s="1" t="s">
        <v>15</v>
      </c>
      <c r="C190" s="1" t="s">
        <v>33</v>
      </c>
      <c r="D190" s="1" t="s">
        <v>23</v>
      </c>
      <c r="E190" s="1" t="s">
        <v>24</v>
      </c>
    </row>
    <row r="191" spans="1:5" ht="13.2" x14ac:dyDescent="0.25">
      <c r="A191" s="1">
        <v>1190</v>
      </c>
      <c r="B191" s="1" t="s">
        <v>34</v>
      </c>
      <c r="C191" s="1" t="s">
        <v>27</v>
      </c>
      <c r="D191" s="1" t="s">
        <v>23</v>
      </c>
      <c r="E191" s="1" t="s">
        <v>24</v>
      </c>
    </row>
    <row r="192" spans="1:5" ht="13.2" x14ac:dyDescent="0.25">
      <c r="A192" s="1">
        <v>1191</v>
      </c>
      <c r="B192" s="1" t="s">
        <v>36</v>
      </c>
      <c r="C192" s="1" t="s">
        <v>33</v>
      </c>
      <c r="D192" s="1" t="s">
        <v>17</v>
      </c>
      <c r="E192" s="1" t="s">
        <v>29</v>
      </c>
    </row>
    <row r="193" spans="1:5" ht="13.2" x14ac:dyDescent="0.25">
      <c r="A193" s="1">
        <v>1192</v>
      </c>
      <c r="B193" s="1" t="s">
        <v>32</v>
      </c>
      <c r="C193" s="1" t="s">
        <v>20</v>
      </c>
      <c r="D193" s="1" t="s">
        <v>17</v>
      </c>
      <c r="E193" s="1" t="s">
        <v>29</v>
      </c>
    </row>
    <row r="194" spans="1:5" ht="13.2" x14ac:dyDescent="0.25">
      <c r="A194" s="1">
        <v>1193</v>
      </c>
      <c r="B194" s="1" t="s">
        <v>31</v>
      </c>
      <c r="C194" s="1" t="s">
        <v>28</v>
      </c>
      <c r="D194" s="1" t="s">
        <v>21</v>
      </c>
      <c r="E194" s="1" t="s">
        <v>29</v>
      </c>
    </row>
    <row r="195" spans="1:5" ht="13.2" x14ac:dyDescent="0.25">
      <c r="A195" s="1">
        <v>1194</v>
      </c>
      <c r="B195" s="1" t="s">
        <v>36</v>
      </c>
      <c r="C195" s="1" t="s">
        <v>33</v>
      </c>
      <c r="D195" s="1" t="s">
        <v>23</v>
      </c>
      <c r="E195" s="1" t="s">
        <v>18</v>
      </c>
    </row>
    <row r="196" spans="1:5" ht="13.2" x14ac:dyDescent="0.25">
      <c r="A196" s="1">
        <v>1195</v>
      </c>
      <c r="B196" s="1" t="s">
        <v>32</v>
      </c>
      <c r="C196" s="1" t="s">
        <v>33</v>
      </c>
      <c r="D196" s="1" t="s">
        <v>21</v>
      </c>
      <c r="E196" s="1" t="s">
        <v>24</v>
      </c>
    </row>
    <row r="197" spans="1:5" ht="13.2" x14ac:dyDescent="0.25">
      <c r="A197" s="1">
        <v>1196</v>
      </c>
      <c r="B197" s="1" t="s">
        <v>19</v>
      </c>
      <c r="C197" s="1" t="s">
        <v>20</v>
      </c>
      <c r="D197" s="1" t="s">
        <v>17</v>
      </c>
      <c r="E197" s="1" t="s">
        <v>24</v>
      </c>
    </row>
    <row r="198" spans="1:5" ht="13.2" x14ac:dyDescent="0.25">
      <c r="A198" s="1">
        <v>1197</v>
      </c>
      <c r="B198" s="1" t="s">
        <v>36</v>
      </c>
      <c r="C198" s="1" t="s">
        <v>16</v>
      </c>
      <c r="D198" s="1" t="s">
        <v>17</v>
      </c>
      <c r="E198" s="1" t="s">
        <v>29</v>
      </c>
    </row>
    <row r="199" spans="1:5" ht="13.2" x14ac:dyDescent="0.25">
      <c r="A199" s="1">
        <v>1198</v>
      </c>
      <c r="B199" s="1" t="s">
        <v>22</v>
      </c>
      <c r="C199" s="1" t="s">
        <v>20</v>
      </c>
      <c r="D199" s="1" t="s">
        <v>23</v>
      </c>
      <c r="E199" s="1" t="s">
        <v>29</v>
      </c>
    </row>
    <row r="200" spans="1:5" ht="13.2" x14ac:dyDescent="0.25">
      <c r="A200" s="1">
        <v>1199</v>
      </c>
      <c r="B200" s="1" t="s">
        <v>22</v>
      </c>
      <c r="C200" s="1" t="s">
        <v>28</v>
      </c>
      <c r="D200" s="1" t="s">
        <v>21</v>
      </c>
      <c r="E200" s="1" t="s">
        <v>18</v>
      </c>
    </row>
    <row r="201" spans="1:5" ht="13.2" x14ac:dyDescent="0.25">
      <c r="A201" s="1">
        <v>1200</v>
      </c>
      <c r="B201" s="1" t="s">
        <v>26</v>
      </c>
      <c r="C201" s="1" t="s">
        <v>20</v>
      </c>
      <c r="D201" s="1" t="s">
        <v>23</v>
      </c>
      <c r="E201" s="1" t="s">
        <v>29</v>
      </c>
    </row>
    <row r="202" spans="1:5" ht="13.2" x14ac:dyDescent="0.25">
      <c r="A202" s="1">
        <v>1201</v>
      </c>
      <c r="B202" s="1" t="s">
        <v>26</v>
      </c>
      <c r="C202" s="1" t="s">
        <v>28</v>
      </c>
      <c r="D202" s="1" t="s">
        <v>23</v>
      </c>
      <c r="E202" s="1" t="s">
        <v>29</v>
      </c>
    </row>
    <row r="203" spans="1:5" ht="13.2" x14ac:dyDescent="0.25">
      <c r="A203" s="1">
        <v>1202</v>
      </c>
      <c r="B203" s="1" t="s">
        <v>30</v>
      </c>
      <c r="C203" s="1" t="s">
        <v>27</v>
      </c>
      <c r="D203" s="1" t="s">
        <v>21</v>
      </c>
      <c r="E203" s="1" t="s">
        <v>18</v>
      </c>
    </row>
    <row r="204" spans="1:5" ht="13.2" x14ac:dyDescent="0.25">
      <c r="A204" s="1">
        <v>1203</v>
      </c>
      <c r="B204" s="1" t="s">
        <v>32</v>
      </c>
      <c r="C204" s="1" t="s">
        <v>20</v>
      </c>
      <c r="D204" s="1" t="s">
        <v>23</v>
      </c>
      <c r="E204" s="1" t="s">
        <v>24</v>
      </c>
    </row>
    <row r="205" spans="1:5" ht="13.2" x14ac:dyDescent="0.25">
      <c r="A205" s="1">
        <v>1204</v>
      </c>
      <c r="B205" s="1" t="s">
        <v>36</v>
      </c>
      <c r="C205" s="1" t="s">
        <v>20</v>
      </c>
      <c r="D205" s="1" t="s">
        <v>17</v>
      </c>
      <c r="E205" s="1" t="s">
        <v>18</v>
      </c>
    </row>
    <row r="206" spans="1:5" ht="13.2" x14ac:dyDescent="0.25">
      <c r="A206" s="1">
        <v>1205</v>
      </c>
      <c r="B206" s="1" t="s">
        <v>22</v>
      </c>
      <c r="C206" s="1" t="s">
        <v>20</v>
      </c>
      <c r="D206" s="1" t="s">
        <v>21</v>
      </c>
      <c r="E206" s="1" t="s">
        <v>18</v>
      </c>
    </row>
    <row r="207" spans="1:5" ht="13.2" x14ac:dyDescent="0.25">
      <c r="A207" s="1">
        <v>1206</v>
      </c>
      <c r="B207" s="1" t="s">
        <v>35</v>
      </c>
      <c r="C207" s="1" t="s">
        <v>27</v>
      </c>
      <c r="D207" s="1" t="s">
        <v>17</v>
      </c>
      <c r="E207" s="1" t="s">
        <v>24</v>
      </c>
    </row>
    <row r="208" spans="1:5" ht="13.2" x14ac:dyDescent="0.25">
      <c r="A208" s="1">
        <v>1207</v>
      </c>
      <c r="B208" s="1" t="s">
        <v>26</v>
      </c>
      <c r="C208" s="1" t="s">
        <v>16</v>
      </c>
      <c r="D208" s="1" t="s">
        <v>23</v>
      </c>
      <c r="E208" s="1" t="s">
        <v>18</v>
      </c>
    </row>
    <row r="209" spans="1:5" ht="13.2" x14ac:dyDescent="0.25">
      <c r="A209" s="1">
        <v>1208</v>
      </c>
      <c r="B209" s="1" t="s">
        <v>26</v>
      </c>
      <c r="C209" s="1" t="s">
        <v>33</v>
      </c>
      <c r="D209" s="1" t="s">
        <v>23</v>
      </c>
      <c r="E209" s="1" t="s">
        <v>18</v>
      </c>
    </row>
    <row r="210" spans="1:5" ht="13.2" x14ac:dyDescent="0.25">
      <c r="A210" s="1">
        <v>1209</v>
      </c>
      <c r="B210" s="1" t="s">
        <v>30</v>
      </c>
      <c r="C210" s="1" t="s">
        <v>33</v>
      </c>
      <c r="D210" s="1" t="s">
        <v>23</v>
      </c>
      <c r="E210" s="1" t="s">
        <v>24</v>
      </c>
    </row>
    <row r="211" spans="1:5" ht="13.2" x14ac:dyDescent="0.25">
      <c r="A211" s="1">
        <v>1210</v>
      </c>
      <c r="B211" s="1" t="s">
        <v>15</v>
      </c>
      <c r="C211" s="1" t="s">
        <v>28</v>
      </c>
      <c r="D211" s="1" t="s">
        <v>21</v>
      </c>
      <c r="E211" s="1" t="s">
        <v>18</v>
      </c>
    </row>
    <row r="212" spans="1:5" ht="13.2" x14ac:dyDescent="0.25">
      <c r="A212" s="1">
        <v>1211</v>
      </c>
      <c r="B212" s="1" t="s">
        <v>19</v>
      </c>
      <c r="C212" s="1" t="s">
        <v>20</v>
      </c>
      <c r="D212" s="1" t="s">
        <v>23</v>
      </c>
      <c r="E212" s="1" t="s">
        <v>29</v>
      </c>
    </row>
    <row r="213" spans="1:5" ht="13.2" x14ac:dyDescent="0.25">
      <c r="A213" s="1">
        <v>1212</v>
      </c>
      <c r="B213" s="1" t="s">
        <v>31</v>
      </c>
      <c r="C213" s="1" t="s">
        <v>27</v>
      </c>
      <c r="D213" s="1" t="s">
        <v>21</v>
      </c>
      <c r="E213" s="1" t="s">
        <v>24</v>
      </c>
    </row>
    <row r="214" spans="1:5" ht="13.2" x14ac:dyDescent="0.25">
      <c r="A214" s="1">
        <v>1213</v>
      </c>
      <c r="B214" s="1" t="s">
        <v>19</v>
      </c>
      <c r="C214" s="1" t="s">
        <v>28</v>
      </c>
      <c r="D214" s="1" t="s">
        <v>23</v>
      </c>
      <c r="E214" s="1" t="s">
        <v>18</v>
      </c>
    </row>
    <row r="215" spans="1:5" ht="13.2" x14ac:dyDescent="0.25">
      <c r="A215" s="1">
        <v>1214</v>
      </c>
      <c r="B215" s="1" t="s">
        <v>31</v>
      </c>
      <c r="C215" s="1" t="s">
        <v>28</v>
      </c>
      <c r="D215" s="1" t="s">
        <v>21</v>
      </c>
      <c r="E215" s="1" t="s">
        <v>29</v>
      </c>
    </row>
    <row r="216" spans="1:5" ht="13.2" x14ac:dyDescent="0.25">
      <c r="A216" s="1">
        <v>1215</v>
      </c>
      <c r="B216" s="1" t="s">
        <v>15</v>
      </c>
      <c r="C216" s="1" t="s">
        <v>20</v>
      </c>
      <c r="D216" s="1" t="s">
        <v>21</v>
      </c>
      <c r="E216" s="1" t="s">
        <v>18</v>
      </c>
    </row>
    <row r="217" spans="1:5" ht="13.2" x14ac:dyDescent="0.25">
      <c r="A217" s="1">
        <v>1216</v>
      </c>
      <c r="B217" s="1" t="s">
        <v>26</v>
      </c>
      <c r="C217" s="1" t="s">
        <v>27</v>
      </c>
      <c r="D217" s="1" t="s">
        <v>21</v>
      </c>
      <c r="E217" s="1" t="s">
        <v>18</v>
      </c>
    </row>
    <row r="218" spans="1:5" ht="13.2" x14ac:dyDescent="0.25">
      <c r="A218" s="1">
        <v>1217</v>
      </c>
      <c r="B218" s="1" t="s">
        <v>30</v>
      </c>
      <c r="C218" s="1" t="s">
        <v>20</v>
      </c>
      <c r="D218" s="1" t="s">
        <v>17</v>
      </c>
      <c r="E218" s="1" t="s">
        <v>24</v>
      </c>
    </row>
    <row r="219" spans="1:5" ht="13.2" x14ac:dyDescent="0.25">
      <c r="A219" s="1">
        <v>1218</v>
      </c>
      <c r="B219" s="1" t="s">
        <v>19</v>
      </c>
      <c r="C219" s="1" t="s">
        <v>28</v>
      </c>
      <c r="D219" s="1" t="s">
        <v>21</v>
      </c>
      <c r="E219" s="1" t="s">
        <v>18</v>
      </c>
    </row>
    <row r="220" spans="1:5" ht="13.2" x14ac:dyDescent="0.25">
      <c r="A220" s="1">
        <v>1219</v>
      </c>
      <c r="B220" s="1" t="s">
        <v>30</v>
      </c>
      <c r="C220" s="1" t="s">
        <v>33</v>
      </c>
      <c r="D220" s="1" t="s">
        <v>21</v>
      </c>
      <c r="E220" s="1" t="s">
        <v>29</v>
      </c>
    </row>
    <row r="221" spans="1:5" ht="13.2" x14ac:dyDescent="0.25">
      <c r="A221" s="1">
        <v>1220</v>
      </c>
      <c r="B221" s="1" t="s">
        <v>36</v>
      </c>
      <c r="C221" s="1" t="s">
        <v>28</v>
      </c>
      <c r="D221" s="1" t="s">
        <v>17</v>
      </c>
      <c r="E221" s="1" t="s">
        <v>24</v>
      </c>
    </row>
    <row r="222" spans="1:5" ht="13.2" x14ac:dyDescent="0.25">
      <c r="A222" s="1">
        <v>1221</v>
      </c>
      <c r="B222" s="1" t="s">
        <v>35</v>
      </c>
      <c r="C222" s="1" t="s">
        <v>27</v>
      </c>
      <c r="D222" s="1" t="s">
        <v>23</v>
      </c>
      <c r="E222" s="1" t="s">
        <v>29</v>
      </c>
    </row>
    <row r="223" spans="1:5" ht="13.2" x14ac:dyDescent="0.25">
      <c r="A223" s="1">
        <v>1222</v>
      </c>
      <c r="B223" s="1" t="s">
        <v>35</v>
      </c>
      <c r="C223" s="1" t="s">
        <v>20</v>
      </c>
      <c r="D223" s="1" t="s">
        <v>21</v>
      </c>
      <c r="E223" s="1" t="s">
        <v>29</v>
      </c>
    </row>
    <row r="224" spans="1:5" ht="13.2" x14ac:dyDescent="0.25">
      <c r="A224" s="1">
        <v>1223</v>
      </c>
      <c r="B224" s="1" t="s">
        <v>32</v>
      </c>
      <c r="C224" s="1" t="s">
        <v>33</v>
      </c>
      <c r="D224" s="1" t="s">
        <v>23</v>
      </c>
      <c r="E224" s="1" t="s">
        <v>29</v>
      </c>
    </row>
    <row r="225" spans="1:5" ht="13.2" x14ac:dyDescent="0.25">
      <c r="A225" s="1">
        <v>1224</v>
      </c>
      <c r="B225" s="1" t="s">
        <v>26</v>
      </c>
      <c r="C225" s="1" t="s">
        <v>33</v>
      </c>
      <c r="D225" s="1" t="s">
        <v>23</v>
      </c>
      <c r="E225" s="1" t="s">
        <v>18</v>
      </c>
    </row>
    <row r="226" spans="1:5" ht="13.2" x14ac:dyDescent="0.25">
      <c r="A226" s="1">
        <v>1225</v>
      </c>
      <c r="B226" s="1" t="s">
        <v>26</v>
      </c>
      <c r="C226" s="1" t="s">
        <v>20</v>
      </c>
      <c r="D226" s="1" t="s">
        <v>21</v>
      </c>
      <c r="E226" s="1" t="s">
        <v>24</v>
      </c>
    </row>
    <row r="227" spans="1:5" ht="13.2" x14ac:dyDescent="0.25">
      <c r="A227" s="1">
        <v>1226</v>
      </c>
      <c r="B227" s="1" t="s">
        <v>35</v>
      </c>
      <c r="C227" s="1" t="s">
        <v>16</v>
      </c>
      <c r="D227" s="1" t="s">
        <v>17</v>
      </c>
      <c r="E227" s="1" t="s">
        <v>18</v>
      </c>
    </row>
    <row r="228" spans="1:5" ht="13.2" x14ac:dyDescent="0.25">
      <c r="A228" s="1">
        <v>1227</v>
      </c>
      <c r="B228" s="1" t="s">
        <v>34</v>
      </c>
      <c r="C228" s="1" t="s">
        <v>16</v>
      </c>
      <c r="D228" s="1" t="s">
        <v>21</v>
      </c>
      <c r="E228" s="1" t="s">
        <v>18</v>
      </c>
    </row>
    <row r="229" spans="1:5" ht="13.2" x14ac:dyDescent="0.25">
      <c r="A229" s="1">
        <v>1228</v>
      </c>
      <c r="B229" s="1" t="s">
        <v>22</v>
      </c>
      <c r="C229" s="1" t="s">
        <v>33</v>
      </c>
      <c r="D229" s="1" t="s">
        <v>23</v>
      </c>
      <c r="E229" s="1" t="s">
        <v>24</v>
      </c>
    </row>
    <row r="230" spans="1:5" ht="13.2" x14ac:dyDescent="0.25">
      <c r="A230" s="1">
        <v>1229</v>
      </c>
      <c r="B230" s="1" t="s">
        <v>19</v>
      </c>
      <c r="C230" s="1" t="s">
        <v>20</v>
      </c>
      <c r="D230" s="1" t="s">
        <v>23</v>
      </c>
      <c r="E230" s="1" t="s">
        <v>18</v>
      </c>
    </row>
    <row r="231" spans="1:5" ht="13.2" x14ac:dyDescent="0.25">
      <c r="A231" s="1">
        <v>1230</v>
      </c>
      <c r="B231" s="1" t="s">
        <v>36</v>
      </c>
      <c r="C231" s="1" t="s">
        <v>20</v>
      </c>
      <c r="D231" s="1" t="s">
        <v>23</v>
      </c>
      <c r="E231" s="1" t="s">
        <v>24</v>
      </c>
    </row>
    <row r="232" spans="1:5" ht="13.2" x14ac:dyDescent="0.25">
      <c r="A232" s="1">
        <v>1231</v>
      </c>
      <c r="B232" s="1" t="s">
        <v>35</v>
      </c>
      <c r="C232" s="1" t="s">
        <v>28</v>
      </c>
      <c r="D232" s="1" t="s">
        <v>21</v>
      </c>
      <c r="E232" s="1" t="s">
        <v>18</v>
      </c>
    </row>
    <row r="233" spans="1:5" ht="13.2" x14ac:dyDescent="0.25">
      <c r="A233" s="1">
        <v>1232</v>
      </c>
      <c r="B233" s="1" t="s">
        <v>30</v>
      </c>
      <c r="C233" s="1" t="s">
        <v>33</v>
      </c>
      <c r="D233" s="1" t="s">
        <v>21</v>
      </c>
      <c r="E233" s="1" t="s">
        <v>18</v>
      </c>
    </row>
    <row r="234" spans="1:5" ht="13.2" x14ac:dyDescent="0.25">
      <c r="A234" s="1">
        <v>1233</v>
      </c>
      <c r="B234" s="1" t="s">
        <v>19</v>
      </c>
      <c r="C234" s="1" t="s">
        <v>27</v>
      </c>
      <c r="D234" s="1" t="s">
        <v>23</v>
      </c>
      <c r="E234" s="1" t="s">
        <v>29</v>
      </c>
    </row>
    <row r="235" spans="1:5" ht="13.2" x14ac:dyDescent="0.25">
      <c r="A235" s="1">
        <v>1234</v>
      </c>
      <c r="B235" s="1" t="s">
        <v>32</v>
      </c>
      <c r="C235" s="1" t="s">
        <v>28</v>
      </c>
      <c r="D235" s="1" t="s">
        <v>17</v>
      </c>
      <c r="E235" s="1" t="s">
        <v>18</v>
      </c>
    </row>
    <row r="236" spans="1:5" ht="13.2" x14ac:dyDescent="0.25">
      <c r="A236" s="1">
        <v>1235</v>
      </c>
      <c r="B236" s="1" t="s">
        <v>22</v>
      </c>
      <c r="C236" s="1" t="s">
        <v>27</v>
      </c>
      <c r="D236" s="1" t="s">
        <v>23</v>
      </c>
      <c r="E236" s="1" t="s">
        <v>18</v>
      </c>
    </row>
    <row r="237" spans="1:5" ht="13.2" x14ac:dyDescent="0.25">
      <c r="A237" s="1">
        <v>1236</v>
      </c>
      <c r="B237" s="1" t="s">
        <v>36</v>
      </c>
      <c r="C237" s="1" t="s">
        <v>28</v>
      </c>
      <c r="D237" s="1" t="s">
        <v>21</v>
      </c>
      <c r="E237" s="1" t="s">
        <v>24</v>
      </c>
    </row>
    <row r="238" spans="1:5" ht="13.2" x14ac:dyDescent="0.25">
      <c r="A238" s="1">
        <v>1237</v>
      </c>
      <c r="B238" s="1" t="s">
        <v>15</v>
      </c>
      <c r="C238" s="1" t="s">
        <v>27</v>
      </c>
      <c r="D238" s="1" t="s">
        <v>17</v>
      </c>
      <c r="E238" s="1" t="s">
        <v>18</v>
      </c>
    </row>
    <row r="239" spans="1:5" ht="13.2" x14ac:dyDescent="0.25">
      <c r="A239" s="1">
        <v>1238</v>
      </c>
      <c r="B239" s="1" t="s">
        <v>31</v>
      </c>
      <c r="C239" s="1" t="s">
        <v>33</v>
      </c>
      <c r="D239" s="1" t="s">
        <v>23</v>
      </c>
      <c r="E239" s="1" t="s">
        <v>24</v>
      </c>
    </row>
    <row r="240" spans="1:5" ht="13.2" x14ac:dyDescent="0.25">
      <c r="A240" s="1">
        <v>1239</v>
      </c>
      <c r="B240" s="1" t="s">
        <v>35</v>
      </c>
      <c r="C240" s="1" t="s">
        <v>20</v>
      </c>
      <c r="D240" s="1" t="s">
        <v>21</v>
      </c>
      <c r="E240" s="1" t="s">
        <v>29</v>
      </c>
    </row>
    <row r="241" spans="1:5" ht="13.2" x14ac:dyDescent="0.25">
      <c r="A241" s="1">
        <v>1240</v>
      </c>
      <c r="B241" s="1" t="s">
        <v>36</v>
      </c>
      <c r="C241" s="1" t="s">
        <v>20</v>
      </c>
      <c r="D241" s="1" t="s">
        <v>21</v>
      </c>
      <c r="E241" s="1" t="s">
        <v>24</v>
      </c>
    </row>
    <row r="242" spans="1:5" ht="13.2" x14ac:dyDescent="0.25">
      <c r="A242" s="1">
        <v>1241</v>
      </c>
      <c r="B242" s="1" t="s">
        <v>26</v>
      </c>
      <c r="C242" s="1" t="s">
        <v>27</v>
      </c>
      <c r="D242" s="1" t="s">
        <v>17</v>
      </c>
      <c r="E242" s="1" t="s">
        <v>24</v>
      </c>
    </row>
    <row r="243" spans="1:5" ht="13.2" x14ac:dyDescent="0.25">
      <c r="A243" s="1">
        <v>1242</v>
      </c>
      <c r="B243" s="1" t="s">
        <v>15</v>
      </c>
      <c r="C243" s="1" t="s">
        <v>16</v>
      </c>
      <c r="D243" s="1" t="s">
        <v>17</v>
      </c>
      <c r="E243" s="1" t="s">
        <v>24</v>
      </c>
    </row>
    <row r="244" spans="1:5" ht="13.2" x14ac:dyDescent="0.25">
      <c r="A244" s="1">
        <v>1243</v>
      </c>
      <c r="B244" s="1" t="s">
        <v>19</v>
      </c>
      <c r="C244" s="1" t="s">
        <v>28</v>
      </c>
      <c r="D244" s="1" t="s">
        <v>17</v>
      </c>
      <c r="E244" s="1" t="s">
        <v>18</v>
      </c>
    </row>
    <row r="245" spans="1:5" ht="13.2" x14ac:dyDescent="0.25">
      <c r="A245" s="1">
        <v>1244</v>
      </c>
      <c r="B245" s="1" t="s">
        <v>26</v>
      </c>
      <c r="C245" s="1" t="s">
        <v>20</v>
      </c>
      <c r="D245" s="1" t="s">
        <v>23</v>
      </c>
      <c r="E245" s="1" t="s">
        <v>18</v>
      </c>
    </row>
    <row r="246" spans="1:5" ht="13.2" x14ac:dyDescent="0.25">
      <c r="A246" s="1">
        <v>1245</v>
      </c>
      <c r="B246" s="1" t="s">
        <v>26</v>
      </c>
      <c r="C246" s="1" t="s">
        <v>28</v>
      </c>
      <c r="D246" s="1" t="s">
        <v>21</v>
      </c>
      <c r="E246" s="1" t="s">
        <v>24</v>
      </c>
    </row>
    <row r="247" spans="1:5" ht="13.2" x14ac:dyDescent="0.25">
      <c r="A247" s="1">
        <v>1246</v>
      </c>
      <c r="B247" s="1" t="s">
        <v>36</v>
      </c>
      <c r="C247" s="1" t="s">
        <v>28</v>
      </c>
      <c r="D247" s="1" t="s">
        <v>21</v>
      </c>
      <c r="E247" s="1" t="s">
        <v>18</v>
      </c>
    </row>
    <row r="248" spans="1:5" ht="13.2" x14ac:dyDescent="0.25">
      <c r="A248" s="1">
        <v>1247</v>
      </c>
      <c r="B248" s="1" t="s">
        <v>35</v>
      </c>
      <c r="C248" s="1" t="s">
        <v>33</v>
      </c>
      <c r="D248" s="1" t="s">
        <v>23</v>
      </c>
      <c r="E248" s="1" t="s">
        <v>24</v>
      </c>
    </row>
    <row r="249" spans="1:5" ht="13.2" x14ac:dyDescent="0.25">
      <c r="A249" s="1">
        <v>1248</v>
      </c>
      <c r="B249" s="1" t="s">
        <v>32</v>
      </c>
      <c r="C249" s="1" t="s">
        <v>20</v>
      </c>
      <c r="D249" s="1" t="s">
        <v>21</v>
      </c>
      <c r="E249" s="1" t="s">
        <v>18</v>
      </c>
    </row>
    <row r="250" spans="1:5" ht="13.2" x14ac:dyDescent="0.25">
      <c r="A250" s="1">
        <v>1249</v>
      </c>
      <c r="B250" s="1" t="s">
        <v>34</v>
      </c>
      <c r="C250" s="1" t="s">
        <v>33</v>
      </c>
      <c r="D250" s="1" t="s">
        <v>21</v>
      </c>
      <c r="E250" s="1" t="s">
        <v>18</v>
      </c>
    </row>
    <row r="251" spans="1:5" ht="13.2" x14ac:dyDescent="0.25">
      <c r="A251" s="1">
        <v>1250</v>
      </c>
      <c r="B251" s="1" t="s">
        <v>32</v>
      </c>
      <c r="C251" s="1" t="s">
        <v>33</v>
      </c>
      <c r="D251" s="1" t="s">
        <v>17</v>
      </c>
      <c r="E251" s="1" t="s">
        <v>18</v>
      </c>
    </row>
    <row r="252" spans="1:5" ht="13.2" x14ac:dyDescent="0.25">
      <c r="A252" s="1">
        <v>1251</v>
      </c>
      <c r="B252" s="1" t="s">
        <v>34</v>
      </c>
      <c r="C252" s="1" t="s">
        <v>16</v>
      </c>
      <c r="D252" s="1" t="s">
        <v>23</v>
      </c>
      <c r="E252" s="1" t="s">
        <v>18</v>
      </c>
    </row>
    <row r="253" spans="1:5" ht="13.2" x14ac:dyDescent="0.25">
      <c r="A253" s="1">
        <v>1252</v>
      </c>
      <c r="B253" s="1" t="s">
        <v>31</v>
      </c>
      <c r="C253" s="1" t="s">
        <v>20</v>
      </c>
      <c r="D253" s="1" t="s">
        <v>17</v>
      </c>
      <c r="E253" s="1" t="s">
        <v>29</v>
      </c>
    </row>
    <row r="254" spans="1:5" ht="13.2" x14ac:dyDescent="0.25">
      <c r="A254" s="1">
        <v>1253</v>
      </c>
      <c r="B254" s="1" t="s">
        <v>32</v>
      </c>
      <c r="C254" s="1" t="s">
        <v>28</v>
      </c>
      <c r="D254" s="1" t="s">
        <v>17</v>
      </c>
      <c r="E254" s="1" t="s">
        <v>18</v>
      </c>
    </row>
    <row r="255" spans="1:5" ht="13.2" x14ac:dyDescent="0.25">
      <c r="A255" s="1">
        <v>1254</v>
      </c>
      <c r="B255" s="1" t="s">
        <v>36</v>
      </c>
      <c r="C255" s="1" t="s">
        <v>27</v>
      </c>
      <c r="D255" s="1" t="s">
        <v>17</v>
      </c>
      <c r="E255" s="1" t="s">
        <v>29</v>
      </c>
    </row>
    <row r="256" spans="1:5" ht="13.2" x14ac:dyDescent="0.25">
      <c r="A256" s="1">
        <v>1255</v>
      </c>
      <c r="B256" s="1" t="s">
        <v>30</v>
      </c>
      <c r="C256" s="1" t="s">
        <v>27</v>
      </c>
      <c r="D256" s="1" t="s">
        <v>21</v>
      </c>
      <c r="E256" s="1" t="s">
        <v>24</v>
      </c>
    </row>
    <row r="257" spans="1:5" ht="13.2" x14ac:dyDescent="0.25">
      <c r="A257" s="1">
        <v>1256</v>
      </c>
      <c r="B257" s="1" t="s">
        <v>34</v>
      </c>
      <c r="C257" s="1" t="s">
        <v>28</v>
      </c>
      <c r="D257" s="1" t="s">
        <v>17</v>
      </c>
      <c r="E257" s="1" t="s">
        <v>24</v>
      </c>
    </row>
    <row r="258" spans="1:5" ht="13.2" x14ac:dyDescent="0.25">
      <c r="A258" s="1">
        <v>1257</v>
      </c>
      <c r="B258" s="1" t="s">
        <v>31</v>
      </c>
      <c r="C258" s="1" t="s">
        <v>20</v>
      </c>
      <c r="D258" s="1" t="s">
        <v>21</v>
      </c>
      <c r="E258" s="1" t="s">
        <v>18</v>
      </c>
    </row>
    <row r="259" spans="1:5" ht="13.2" x14ac:dyDescent="0.25">
      <c r="A259" s="1">
        <v>1258</v>
      </c>
      <c r="B259" s="1" t="s">
        <v>36</v>
      </c>
      <c r="C259" s="1" t="s">
        <v>27</v>
      </c>
      <c r="D259" s="1" t="s">
        <v>17</v>
      </c>
      <c r="E259" s="1" t="s">
        <v>18</v>
      </c>
    </row>
    <row r="260" spans="1:5" ht="13.2" x14ac:dyDescent="0.25">
      <c r="A260" s="1">
        <v>1259</v>
      </c>
      <c r="B260" s="1" t="s">
        <v>22</v>
      </c>
      <c r="C260" s="1" t="s">
        <v>28</v>
      </c>
      <c r="D260" s="1" t="s">
        <v>17</v>
      </c>
      <c r="E260" s="1" t="s">
        <v>18</v>
      </c>
    </row>
    <row r="261" spans="1:5" ht="13.2" x14ac:dyDescent="0.25">
      <c r="A261" s="1">
        <v>1260</v>
      </c>
      <c r="B261" s="1" t="s">
        <v>35</v>
      </c>
      <c r="C261" s="1" t="s">
        <v>20</v>
      </c>
      <c r="D261" s="1" t="s">
        <v>21</v>
      </c>
      <c r="E261" s="1" t="s">
        <v>29</v>
      </c>
    </row>
    <row r="262" spans="1:5" ht="13.2" x14ac:dyDescent="0.25">
      <c r="A262" s="1">
        <v>1261</v>
      </c>
      <c r="B262" s="1" t="s">
        <v>32</v>
      </c>
      <c r="C262" s="1" t="s">
        <v>27</v>
      </c>
      <c r="D262" s="1" t="s">
        <v>17</v>
      </c>
      <c r="E262" s="1" t="s">
        <v>18</v>
      </c>
    </row>
    <row r="263" spans="1:5" ht="13.2" x14ac:dyDescent="0.25">
      <c r="A263" s="1">
        <v>1262</v>
      </c>
      <c r="B263" s="1" t="s">
        <v>15</v>
      </c>
      <c r="C263" s="1" t="s">
        <v>28</v>
      </c>
      <c r="D263" s="1" t="s">
        <v>17</v>
      </c>
      <c r="E263" s="1" t="s">
        <v>29</v>
      </c>
    </row>
    <row r="264" spans="1:5" ht="13.2" x14ac:dyDescent="0.25">
      <c r="A264" s="1">
        <v>1263</v>
      </c>
      <c r="B264" s="1" t="s">
        <v>22</v>
      </c>
      <c r="C264" s="1" t="s">
        <v>16</v>
      </c>
      <c r="D264" s="1" t="s">
        <v>21</v>
      </c>
      <c r="E264" s="1" t="s">
        <v>18</v>
      </c>
    </row>
    <row r="265" spans="1:5" ht="13.2" x14ac:dyDescent="0.25">
      <c r="A265" s="1">
        <v>1264</v>
      </c>
      <c r="B265" s="1" t="s">
        <v>35</v>
      </c>
      <c r="C265" s="1" t="s">
        <v>28</v>
      </c>
      <c r="D265" s="1" t="s">
        <v>21</v>
      </c>
      <c r="E265" s="1" t="s">
        <v>29</v>
      </c>
    </row>
    <row r="266" spans="1:5" ht="13.2" x14ac:dyDescent="0.25">
      <c r="A266" s="1">
        <v>1265</v>
      </c>
      <c r="B266" s="1" t="s">
        <v>31</v>
      </c>
      <c r="C266" s="1" t="s">
        <v>16</v>
      </c>
      <c r="D266" s="1" t="s">
        <v>17</v>
      </c>
      <c r="E266" s="1" t="s">
        <v>29</v>
      </c>
    </row>
    <row r="267" spans="1:5" ht="13.2" x14ac:dyDescent="0.25">
      <c r="A267" s="1">
        <v>1266</v>
      </c>
      <c r="B267" s="1" t="s">
        <v>19</v>
      </c>
      <c r="C267" s="1" t="s">
        <v>16</v>
      </c>
      <c r="D267" s="1" t="s">
        <v>23</v>
      </c>
      <c r="E267" s="1" t="s">
        <v>24</v>
      </c>
    </row>
    <row r="268" spans="1:5" ht="13.2" x14ac:dyDescent="0.25">
      <c r="A268" s="1">
        <v>1267</v>
      </c>
      <c r="B268" s="1" t="s">
        <v>32</v>
      </c>
      <c r="C268" s="1" t="s">
        <v>20</v>
      </c>
      <c r="D268" s="1" t="s">
        <v>23</v>
      </c>
      <c r="E268" s="1" t="s">
        <v>18</v>
      </c>
    </row>
    <row r="269" spans="1:5" ht="13.2" x14ac:dyDescent="0.25">
      <c r="A269" s="1">
        <v>1268</v>
      </c>
      <c r="B269" s="1" t="s">
        <v>30</v>
      </c>
      <c r="C269" s="1" t="s">
        <v>20</v>
      </c>
      <c r="D269" s="1" t="s">
        <v>21</v>
      </c>
      <c r="E269" s="1" t="s">
        <v>18</v>
      </c>
    </row>
    <row r="270" spans="1:5" ht="13.2" x14ac:dyDescent="0.25">
      <c r="A270" s="1">
        <v>1269</v>
      </c>
      <c r="B270" s="1" t="s">
        <v>30</v>
      </c>
      <c r="C270" s="1" t="s">
        <v>33</v>
      </c>
      <c r="D270" s="1" t="s">
        <v>17</v>
      </c>
      <c r="E270" s="1" t="s">
        <v>18</v>
      </c>
    </row>
    <row r="271" spans="1:5" ht="13.2" x14ac:dyDescent="0.25">
      <c r="A271" s="1">
        <v>1270</v>
      </c>
      <c r="B271" s="1" t="s">
        <v>35</v>
      </c>
      <c r="C271" s="1" t="s">
        <v>27</v>
      </c>
      <c r="D271" s="1" t="s">
        <v>23</v>
      </c>
      <c r="E271" s="1" t="s">
        <v>29</v>
      </c>
    </row>
    <row r="272" spans="1:5" ht="13.2" x14ac:dyDescent="0.25">
      <c r="A272" s="1">
        <v>1271</v>
      </c>
      <c r="B272" s="1" t="s">
        <v>31</v>
      </c>
      <c r="C272" s="1" t="s">
        <v>27</v>
      </c>
      <c r="D272" s="1" t="s">
        <v>21</v>
      </c>
      <c r="E272" s="1" t="s">
        <v>29</v>
      </c>
    </row>
    <row r="273" spans="1:5" ht="13.2" x14ac:dyDescent="0.25">
      <c r="A273" s="1">
        <v>1272</v>
      </c>
      <c r="B273" s="1" t="s">
        <v>36</v>
      </c>
      <c r="C273" s="1" t="s">
        <v>27</v>
      </c>
      <c r="D273" s="1" t="s">
        <v>17</v>
      </c>
      <c r="E273" s="1" t="s">
        <v>24</v>
      </c>
    </row>
    <row r="274" spans="1:5" ht="13.2" x14ac:dyDescent="0.25">
      <c r="A274" s="1">
        <v>1273</v>
      </c>
      <c r="B274" s="1" t="s">
        <v>22</v>
      </c>
      <c r="C274" s="1" t="s">
        <v>27</v>
      </c>
      <c r="D274" s="1" t="s">
        <v>21</v>
      </c>
      <c r="E274" s="1" t="s">
        <v>24</v>
      </c>
    </row>
    <row r="275" spans="1:5" ht="13.2" x14ac:dyDescent="0.25">
      <c r="A275" s="1">
        <v>1274</v>
      </c>
      <c r="B275" s="1" t="s">
        <v>26</v>
      </c>
      <c r="C275" s="1" t="s">
        <v>20</v>
      </c>
      <c r="D275" s="1" t="s">
        <v>23</v>
      </c>
      <c r="E275" s="1" t="s">
        <v>24</v>
      </c>
    </row>
    <row r="276" spans="1:5" ht="13.2" x14ac:dyDescent="0.25">
      <c r="A276" s="1">
        <v>1275</v>
      </c>
      <c r="B276" s="1" t="s">
        <v>30</v>
      </c>
      <c r="C276" s="1" t="s">
        <v>20</v>
      </c>
      <c r="D276" s="1" t="s">
        <v>23</v>
      </c>
      <c r="E276" s="1" t="s">
        <v>24</v>
      </c>
    </row>
    <row r="277" spans="1:5" ht="13.2" x14ac:dyDescent="0.25">
      <c r="A277" s="1">
        <v>1276</v>
      </c>
      <c r="B277" s="1" t="s">
        <v>35</v>
      </c>
      <c r="C277" s="1" t="s">
        <v>33</v>
      </c>
      <c r="D277" s="1" t="s">
        <v>23</v>
      </c>
      <c r="E277" s="1" t="s">
        <v>29</v>
      </c>
    </row>
    <row r="278" spans="1:5" ht="13.2" x14ac:dyDescent="0.25">
      <c r="A278" s="1">
        <v>1277</v>
      </c>
      <c r="B278" s="1" t="s">
        <v>32</v>
      </c>
      <c r="C278" s="1" t="s">
        <v>28</v>
      </c>
      <c r="D278" s="1" t="s">
        <v>17</v>
      </c>
      <c r="E278" s="1" t="s">
        <v>24</v>
      </c>
    </row>
    <row r="279" spans="1:5" ht="13.2" x14ac:dyDescent="0.25">
      <c r="A279" s="1">
        <v>1278</v>
      </c>
      <c r="B279" s="1" t="s">
        <v>26</v>
      </c>
      <c r="C279" s="1" t="s">
        <v>33</v>
      </c>
      <c r="D279" s="1" t="s">
        <v>23</v>
      </c>
      <c r="E279" s="1" t="s">
        <v>18</v>
      </c>
    </row>
    <row r="280" spans="1:5" ht="13.2" x14ac:dyDescent="0.25">
      <c r="A280" s="1">
        <v>1279</v>
      </c>
      <c r="B280" s="1" t="s">
        <v>31</v>
      </c>
      <c r="C280" s="1" t="s">
        <v>33</v>
      </c>
      <c r="D280" s="1" t="s">
        <v>23</v>
      </c>
      <c r="E280" s="1" t="s">
        <v>29</v>
      </c>
    </row>
    <row r="281" spans="1:5" ht="13.2" x14ac:dyDescent="0.25">
      <c r="A281" s="1">
        <v>1280</v>
      </c>
      <c r="B281" s="1" t="s">
        <v>30</v>
      </c>
      <c r="C281" s="1" t="s">
        <v>16</v>
      </c>
      <c r="D281" s="1" t="s">
        <v>17</v>
      </c>
      <c r="E281" s="1" t="s">
        <v>18</v>
      </c>
    </row>
    <row r="282" spans="1:5" ht="13.2" x14ac:dyDescent="0.25">
      <c r="A282" s="1">
        <v>1281</v>
      </c>
      <c r="B282" s="1" t="s">
        <v>32</v>
      </c>
      <c r="C282" s="1" t="s">
        <v>27</v>
      </c>
      <c r="D282" s="1" t="s">
        <v>23</v>
      </c>
      <c r="E282" s="1" t="s">
        <v>29</v>
      </c>
    </row>
    <row r="283" spans="1:5" ht="13.2" x14ac:dyDescent="0.25">
      <c r="A283" s="1">
        <v>1282</v>
      </c>
      <c r="B283" s="1" t="s">
        <v>19</v>
      </c>
      <c r="C283" s="1" t="s">
        <v>27</v>
      </c>
      <c r="D283" s="1" t="s">
        <v>23</v>
      </c>
      <c r="E283" s="1" t="s">
        <v>18</v>
      </c>
    </row>
    <row r="284" spans="1:5" ht="13.2" x14ac:dyDescent="0.25">
      <c r="A284" s="1">
        <v>1283</v>
      </c>
      <c r="B284" s="1" t="s">
        <v>30</v>
      </c>
      <c r="C284" s="1" t="s">
        <v>27</v>
      </c>
      <c r="D284" s="1" t="s">
        <v>23</v>
      </c>
      <c r="E284" s="1" t="s">
        <v>29</v>
      </c>
    </row>
    <row r="285" spans="1:5" ht="13.2" x14ac:dyDescent="0.25">
      <c r="A285" s="1">
        <v>1284</v>
      </c>
      <c r="B285" s="1" t="s">
        <v>15</v>
      </c>
      <c r="C285" s="1" t="s">
        <v>28</v>
      </c>
      <c r="D285" s="1" t="s">
        <v>23</v>
      </c>
      <c r="E285" s="1" t="s">
        <v>24</v>
      </c>
    </row>
    <row r="286" spans="1:5" ht="13.2" x14ac:dyDescent="0.25">
      <c r="A286" s="1">
        <v>1285</v>
      </c>
      <c r="B286" s="1" t="s">
        <v>31</v>
      </c>
      <c r="C286" s="1" t="s">
        <v>20</v>
      </c>
      <c r="D286" s="1" t="s">
        <v>21</v>
      </c>
      <c r="E286" s="1" t="s">
        <v>29</v>
      </c>
    </row>
    <row r="287" spans="1:5" ht="13.2" x14ac:dyDescent="0.25">
      <c r="A287" s="1">
        <v>1286</v>
      </c>
      <c r="B287" s="1" t="s">
        <v>22</v>
      </c>
      <c r="C287" s="1" t="s">
        <v>33</v>
      </c>
      <c r="D287" s="1" t="s">
        <v>23</v>
      </c>
      <c r="E287" s="1" t="s">
        <v>24</v>
      </c>
    </row>
    <row r="288" spans="1:5" ht="13.2" x14ac:dyDescent="0.25">
      <c r="A288" s="1">
        <v>1287</v>
      </c>
      <c r="B288" s="1" t="s">
        <v>26</v>
      </c>
      <c r="C288" s="1" t="s">
        <v>33</v>
      </c>
      <c r="D288" s="1" t="s">
        <v>17</v>
      </c>
      <c r="E288" s="1" t="s">
        <v>18</v>
      </c>
    </row>
    <row r="289" spans="1:5" ht="13.2" x14ac:dyDescent="0.25">
      <c r="A289" s="1">
        <v>1288</v>
      </c>
      <c r="B289" s="1" t="s">
        <v>34</v>
      </c>
      <c r="C289" s="1" t="s">
        <v>28</v>
      </c>
      <c r="D289" s="1" t="s">
        <v>17</v>
      </c>
      <c r="E289" s="1" t="s">
        <v>29</v>
      </c>
    </row>
    <row r="290" spans="1:5" ht="13.2" x14ac:dyDescent="0.25">
      <c r="A290" s="1">
        <v>1289</v>
      </c>
      <c r="B290" s="1" t="s">
        <v>30</v>
      </c>
      <c r="C290" s="1" t="s">
        <v>33</v>
      </c>
      <c r="D290" s="1" t="s">
        <v>21</v>
      </c>
      <c r="E290" s="1" t="s">
        <v>24</v>
      </c>
    </row>
    <row r="291" spans="1:5" ht="13.2" x14ac:dyDescent="0.25">
      <c r="A291" s="1">
        <v>1290</v>
      </c>
      <c r="B291" s="1" t="s">
        <v>15</v>
      </c>
      <c r="C291" s="1" t="s">
        <v>16</v>
      </c>
      <c r="D291" s="1" t="s">
        <v>17</v>
      </c>
      <c r="E291" s="1" t="s">
        <v>18</v>
      </c>
    </row>
    <row r="292" spans="1:5" ht="13.2" x14ac:dyDescent="0.25">
      <c r="A292" s="1">
        <v>1291</v>
      </c>
      <c r="B292" s="1" t="s">
        <v>19</v>
      </c>
      <c r="C292" s="1" t="s">
        <v>28</v>
      </c>
      <c r="D292" s="1" t="s">
        <v>17</v>
      </c>
      <c r="E292" s="1" t="s">
        <v>24</v>
      </c>
    </row>
    <row r="293" spans="1:5" ht="13.2" x14ac:dyDescent="0.25">
      <c r="A293" s="1">
        <v>1292</v>
      </c>
      <c r="B293" s="1" t="s">
        <v>22</v>
      </c>
      <c r="C293" s="1" t="s">
        <v>28</v>
      </c>
      <c r="D293" s="1" t="s">
        <v>23</v>
      </c>
      <c r="E293" s="1" t="s">
        <v>29</v>
      </c>
    </row>
    <row r="294" spans="1:5" ht="13.2" x14ac:dyDescent="0.25">
      <c r="A294" s="1">
        <v>1293</v>
      </c>
      <c r="B294" s="1" t="s">
        <v>19</v>
      </c>
      <c r="C294" s="1" t="s">
        <v>33</v>
      </c>
      <c r="D294" s="1" t="s">
        <v>23</v>
      </c>
      <c r="E294" s="1" t="s">
        <v>18</v>
      </c>
    </row>
    <row r="295" spans="1:5" ht="13.2" x14ac:dyDescent="0.25">
      <c r="A295" s="1">
        <v>1294</v>
      </c>
      <c r="B295" s="1" t="s">
        <v>36</v>
      </c>
      <c r="C295" s="1" t="s">
        <v>33</v>
      </c>
      <c r="D295" s="1" t="s">
        <v>17</v>
      </c>
      <c r="E295" s="1" t="s">
        <v>18</v>
      </c>
    </row>
    <row r="296" spans="1:5" ht="13.2" x14ac:dyDescent="0.25">
      <c r="A296" s="1">
        <v>1295</v>
      </c>
      <c r="B296" s="1" t="s">
        <v>19</v>
      </c>
      <c r="C296" s="1" t="s">
        <v>33</v>
      </c>
      <c r="D296" s="1" t="s">
        <v>17</v>
      </c>
      <c r="E296" s="1" t="s">
        <v>24</v>
      </c>
    </row>
    <row r="297" spans="1:5" ht="13.2" x14ac:dyDescent="0.25">
      <c r="A297" s="1">
        <v>1296</v>
      </c>
      <c r="B297" s="1" t="s">
        <v>31</v>
      </c>
      <c r="C297" s="1" t="s">
        <v>27</v>
      </c>
      <c r="D297" s="1" t="s">
        <v>21</v>
      </c>
      <c r="E297" s="1" t="s">
        <v>29</v>
      </c>
    </row>
    <row r="298" spans="1:5" ht="13.2" x14ac:dyDescent="0.25">
      <c r="A298" s="1">
        <v>1297</v>
      </c>
      <c r="B298" s="1" t="s">
        <v>34</v>
      </c>
      <c r="C298" s="1" t="s">
        <v>33</v>
      </c>
      <c r="D298" s="1" t="s">
        <v>23</v>
      </c>
      <c r="E298" s="1" t="s">
        <v>24</v>
      </c>
    </row>
    <row r="299" spans="1:5" ht="13.2" x14ac:dyDescent="0.25">
      <c r="A299" s="1">
        <v>1298</v>
      </c>
      <c r="B299" s="1" t="s">
        <v>34</v>
      </c>
      <c r="C299" s="1" t="s">
        <v>33</v>
      </c>
      <c r="D299" s="1" t="s">
        <v>21</v>
      </c>
      <c r="E299" s="1" t="s">
        <v>18</v>
      </c>
    </row>
    <row r="300" spans="1:5" ht="13.2" x14ac:dyDescent="0.25">
      <c r="A300" s="1">
        <v>1299</v>
      </c>
      <c r="B300" s="1" t="s">
        <v>36</v>
      </c>
      <c r="C300" s="1" t="s">
        <v>28</v>
      </c>
      <c r="D300" s="1" t="s">
        <v>21</v>
      </c>
      <c r="E300" s="1" t="s">
        <v>29</v>
      </c>
    </row>
    <row r="301" spans="1:5" ht="13.2" x14ac:dyDescent="0.25">
      <c r="A301" s="1">
        <v>1300</v>
      </c>
      <c r="B301" s="1" t="s">
        <v>15</v>
      </c>
      <c r="C301" s="1" t="s">
        <v>33</v>
      </c>
      <c r="D301" s="1" t="s">
        <v>17</v>
      </c>
      <c r="E301" s="1" t="s">
        <v>24</v>
      </c>
    </row>
    <row r="302" spans="1:5" ht="13.2" x14ac:dyDescent="0.25">
      <c r="A302" s="1">
        <v>1301</v>
      </c>
      <c r="B302" s="1" t="s">
        <v>31</v>
      </c>
      <c r="C302" s="1" t="s">
        <v>33</v>
      </c>
      <c r="D302" s="1" t="s">
        <v>23</v>
      </c>
      <c r="E302" s="1" t="s">
        <v>29</v>
      </c>
    </row>
    <row r="303" spans="1:5" ht="13.2" x14ac:dyDescent="0.25">
      <c r="A303" s="1">
        <v>1302</v>
      </c>
      <c r="B303" s="1" t="s">
        <v>35</v>
      </c>
      <c r="C303" s="1" t="s">
        <v>27</v>
      </c>
      <c r="D303" s="1" t="s">
        <v>17</v>
      </c>
      <c r="E303" s="1" t="s">
        <v>18</v>
      </c>
    </row>
    <row r="304" spans="1:5" ht="13.2" x14ac:dyDescent="0.25">
      <c r="A304" s="1">
        <v>1303</v>
      </c>
      <c r="B304" s="1" t="s">
        <v>36</v>
      </c>
      <c r="C304" s="1" t="s">
        <v>16</v>
      </c>
      <c r="D304" s="1" t="s">
        <v>23</v>
      </c>
      <c r="E304" s="1" t="s">
        <v>24</v>
      </c>
    </row>
    <row r="305" spans="1:5" ht="13.2" x14ac:dyDescent="0.25">
      <c r="A305" s="1">
        <v>1304</v>
      </c>
      <c r="B305" s="1" t="s">
        <v>15</v>
      </c>
      <c r="C305" s="1" t="s">
        <v>33</v>
      </c>
      <c r="D305" s="1" t="s">
        <v>21</v>
      </c>
      <c r="E305" s="1" t="s">
        <v>24</v>
      </c>
    </row>
    <row r="306" spans="1:5" ht="13.2" x14ac:dyDescent="0.25">
      <c r="A306" s="1">
        <v>1305</v>
      </c>
      <c r="B306" s="1" t="s">
        <v>36</v>
      </c>
      <c r="C306" s="1" t="s">
        <v>16</v>
      </c>
      <c r="D306" s="1" t="s">
        <v>21</v>
      </c>
      <c r="E306" s="1" t="s">
        <v>29</v>
      </c>
    </row>
    <row r="307" spans="1:5" ht="13.2" x14ac:dyDescent="0.25">
      <c r="A307" s="1">
        <v>1306</v>
      </c>
      <c r="B307" s="1" t="s">
        <v>35</v>
      </c>
      <c r="C307" s="1" t="s">
        <v>33</v>
      </c>
      <c r="D307" s="1" t="s">
        <v>23</v>
      </c>
      <c r="E307" s="1" t="s">
        <v>18</v>
      </c>
    </row>
    <row r="308" spans="1:5" ht="13.2" x14ac:dyDescent="0.25">
      <c r="A308" s="1">
        <v>1307</v>
      </c>
      <c r="B308" s="1" t="s">
        <v>35</v>
      </c>
      <c r="C308" s="1" t="s">
        <v>33</v>
      </c>
      <c r="D308" s="1" t="s">
        <v>23</v>
      </c>
      <c r="E308" s="1" t="s">
        <v>18</v>
      </c>
    </row>
    <row r="309" spans="1:5" ht="13.2" x14ac:dyDescent="0.25">
      <c r="A309" s="1">
        <v>1308</v>
      </c>
      <c r="B309" s="1" t="s">
        <v>35</v>
      </c>
      <c r="C309" s="1" t="s">
        <v>16</v>
      </c>
      <c r="D309" s="1" t="s">
        <v>23</v>
      </c>
      <c r="E309" s="1" t="s">
        <v>24</v>
      </c>
    </row>
    <row r="310" spans="1:5" ht="13.2" x14ac:dyDescent="0.25">
      <c r="A310" s="1">
        <v>1309</v>
      </c>
      <c r="B310" s="1" t="s">
        <v>26</v>
      </c>
      <c r="C310" s="1" t="s">
        <v>33</v>
      </c>
      <c r="D310" s="1" t="s">
        <v>23</v>
      </c>
      <c r="E310" s="1" t="s">
        <v>24</v>
      </c>
    </row>
    <row r="311" spans="1:5" ht="13.2" x14ac:dyDescent="0.25">
      <c r="A311" s="1">
        <v>1310</v>
      </c>
      <c r="B311" s="1" t="s">
        <v>26</v>
      </c>
      <c r="C311" s="1" t="s">
        <v>28</v>
      </c>
      <c r="D311" s="1" t="s">
        <v>21</v>
      </c>
      <c r="E311" s="1" t="s">
        <v>29</v>
      </c>
    </row>
    <row r="312" spans="1:5" ht="13.2" x14ac:dyDescent="0.25">
      <c r="A312" s="1">
        <v>1311</v>
      </c>
      <c r="B312" s="1" t="s">
        <v>34</v>
      </c>
      <c r="C312" s="1" t="s">
        <v>20</v>
      </c>
      <c r="D312" s="1" t="s">
        <v>21</v>
      </c>
      <c r="E312" s="1" t="s">
        <v>24</v>
      </c>
    </row>
    <row r="313" spans="1:5" ht="13.2" x14ac:dyDescent="0.25">
      <c r="A313" s="1">
        <v>1312</v>
      </c>
      <c r="B313" s="1" t="s">
        <v>15</v>
      </c>
      <c r="C313" s="1" t="s">
        <v>16</v>
      </c>
      <c r="D313" s="1" t="s">
        <v>17</v>
      </c>
      <c r="E313" s="1" t="s">
        <v>29</v>
      </c>
    </row>
    <row r="314" spans="1:5" ht="13.2" x14ac:dyDescent="0.25">
      <c r="A314" s="1">
        <v>1313</v>
      </c>
      <c r="B314" s="1" t="s">
        <v>32</v>
      </c>
      <c r="C314" s="1" t="s">
        <v>27</v>
      </c>
      <c r="D314" s="1" t="s">
        <v>21</v>
      </c>
      <c r="E314" s="1" t="s">
        <v>18</v>
      </c>
    </row>
    <row r="315" spans="1:5" ht="13.2" x14ac:dyDescent="0.25">
      <c r="A315" s="1">
        <v>1314</v>
      </c>
      <c r="B315" s="1" t="s">
        <v>30</v>
      </c>
      <c r="C315" s="1" t="s">
        <v>27</v>
      </c>
      <c r="D315" s="1" t="s">
        <v>23</v>
      </c>
      <c r="E315" s="1" t="s">
        <v>18</v>
      </c>
    </row>
    <row r="316" spans="1:5" ht="13.2" x14ac:dyDescent="0.25">
      <c r="A316" s="1">
        <v>1315</v>
      </c>
      <c r="B316" s="1" t="s">
        <v>35</v>
      </c>
      <c r="C316" s="1" t="s">
        <v>28</v>
      </c>
      <c r="D316" s="1" t="s">
        <v>17</v>
      </c>
      <c r="E316" s="1" t="s">
        <v>29</v>
      </c>
    </row>
    <row r="317" spans="1:5" ht="13.2" x14ac:dyDescent="0.25">
      <c r="A317" s="1">
        <v>1316</v>
      </c>
      <c r="B317" s="1" t="s">
        <v>15</v>
      </c>
      <c r="C317" s="1" t="s">
        <v>16</v>
      </c>
      <c r="D317" s="1" t="s">
        <v>23</v>
      </c>
      <c r="E317" s="1" t="s">
        <v>18</v>
      </c>
    </row>
    <row r="318" spans="1:5" ht="13.2" x14ac:dyDescent="0.25">
      <c r="A318" s="1">
        <v>1317</v>
      </c>
      <c r="B318" s="1" t="s">
        <v>32</v>
      </c>
      <c r="C318" s="1" t="s">
        <v>20</v>
      </c>
      <c r="D318" s="1" t="s">
        <v>17</v>
      </c>
      <c r="E318" s="1" t="s">
        <v>18</v>
      </c>
    </row>
    <row r="319" spans="1:5" ht="13.2" x14ac:dyDescent="0.25">
      <c r="A319" s="1">
        <v>1318</v>
      </c>
      <c r="B319" s="1" t="s">
        <v>34</v>
      </c>
      <c r="C319" s="1" t="s">
        <v>28</v>
      </c>
      <c r="D319" s="1" t="s">
        <v>23</v>
      </c>
      <c r="E319" s="1" t="s">
        <v>29</v>
      </c>
    </row>
    <row r="320" spans="1:5" ht="13.2" x14ac:dyDescent="0.25">
      <c r="A320" s="1">
        <v>1319</v>
      </c>
      <c r="B320" s="1" t="s">
        <v>36</v>
      </c>
      <c r="C320" s="1" t="s">
        <v>16</v>
      </c>
      <c r="D320" s="1" t="s">
        <v>23</v>
      </c>
      <c r="E320" s="1" t="s">
        <v>18</v>
      </c>
    </row>
    <row r="321" spans="1:5" ht="13.2" x14ac:dyDescent="0.25">
      <c r="A321" s="1">
        <v>1320</v>
      </c>
      <c r="B321" s="1" t="s">
        <v>30</v>
      </c>
      <c r="C321" s="1" t="s">
        <v>28</v>
      </c>
      <c r="D321" s="1" t="s">
        <v>21</v>
      </c>
      <c r="E321" s="1" t="s">
        <v>24</v>
      </c>
    </row>
    <row r="322" spans="1:5" ht="13.2" x14ac:dyDescent="0.25">
      <c r="A322" s="1">
        <v>1321</v>
      </c>
      <c r="B322" s="1" t="s">
        <v>32</v>
      </c>
      <c r="C322" s="1" t="s">
        <v>28</v>
      </c>
      <c r="D322" s="1" t="s">
        <v>23</v>
      </c>
      <c r="E322" s="1" t="s">
        <v>29</v>
      </c>
    </row>
    <row r="323" spans="1:5" ht="13.2" x14ac:dyDescent="0.25">
      <c r="A323" s="1">
        <v>1322</v>
      </c>
      <c r="B323" s="1" t="s">
        <v>19</v>
      </c>
      <c r="C323" s="1" t="s">
        <v>28</v>
      </c>
      <c r="D323" s="1" t="s">
        <v>21</v>
      </c>
      <c r="E323" s="1" t="s">
        <v>29</v>
      </c>
    </row>
    <row r="324" spans="1:5" ht="13.2" x14ac:dyDescent="0.25">
      <c r="A324" s="1">
        <v>1323</v>
      </c>
      <c r="B324" s="1" t="s">
        <v>34</v>
      </c>
      <c r="C324" s="1" t="s">
        <v>20</v>
      </c>
      <c r="D324" s="1" t="s">
        <v>23</v>
      </c>
      <c r="E324" s="1" t="s">
        <v>24</v>
      </c>
    </row>
    <row r="325" spans="1:5" ht="13.2" x14ac:dyDescent="0.25">
      <c r="A325" s="1">
        <v>1324</v>
      </c>
      <c r="B325" s="1" t="s">
        <v>34</v>
      </c>
      <c r="C325" s="1" t="s">
        <v>33</v>
      </c>
      <c r="D325" s="1" t="s">
        <v>23</v>
      </c>
      <c r="E325" s="1" t="s">
        <v>24</v>
      </c>
    </row>
    <row r="326" spans="1:5" ht="13.2" x14ac:dyDescent="0.25">
      <c r="A326" s="1">
        <v>1325</v>
      </c>
      <c r="B326" s="1" t="s">
        <v>15</v>
      </c>
      <c r="C326" s="1" t="s">
        <v>27</v>
      </c>
      <c r="D326" s="1" t="s">
        <v>23</v>
      </c>
      <c r="E326" s="1" t="s">
        <v>24</v>
      </c>
    </row>
    <row r="327" spans="1:5" ht="13.2" x14ac:dyDescent="0.25">
      <c r="A327" s="1">
        <v>1326</v>
      </c>
      <c r="B327" s="1" t="s">
        <v>15</v>
      </c>
      <c r="C327" s="1" t="s">
        <v>20</v>
      </c>
      <c r="D327" s="1" t="s">
        <v>17</v>
      </c>
      <c r="E327" s="1" t="s">
        <v>29</v>
      </c>
    </row>
    <row r="328" spans="1:5" ht="13.2" x14ac:dyDescent="0.25">
      <c r="A328" s="1">
        <v>1327</v>
      </c>
      <c r="B328" s="1" t="s">
        <v>35</v>
      </c>
      <c r="C328" s="1" t="s">
        <v>16</v>
      </c>
      <c r="D328" s="1" t="s">
        <v>23</v>
      </c>
      <c r="E328" s="1" t="s">
        <v>24</v>
      </c>
    </row>
    <row r="329" spans="1:5" ht="13.2" x14ac:dyDescent="0.25">
      <c r="A329" s="1">
        <v>1328</v>
      </c>
      <c r="B329" s="1" t="s">
        <v>15</v>
      </c>
      <c r="C329" s="1" t="s">
        <v>27</v>
      </c>
      <c r="D329" s="1" t="s">
        <v>21</v>
      </c>
      <c r="E329" s="1" t="s">
        <v>24</v>
      </c>
    </row>
    <row r="330" spans="1:5" ht="13.2" x14ac:dyDescent="0.25">
      <c r="A330" s="1">
        <v>1329</v>
      </c>
      <c r="B330" s="1" t="s">
        <v>35</v>
      </c>
      <c r="C330" s="1" t="s">
        <v>33</v>
      </c>
      <c r="D330" s="1" t="s">
        <v>17</v>
      </c>
      <c r="E330" s="1" t="s">
        <v>18</v>
      </c>
    </row>
    <row r="331" spans="1:5" ht="13.2" x14ac:dyDescent="0.25">
      <c r="A331" s="1">
        <v>1330</v>
      </c>
      <c r="B331" s="1" t="s">
        <v>30</v>
      </c>
      <c r="C331" s="1" t="s">
        <v>33</v>
      </c>
      <c r="D331" s="1" t="s">
        <v>17</v>
      </c>
      <c r="E331" s="1" t="s">
        <v>18</v>
      </c>
    </row>
    <row r="332" spans="1:5" ht="13.2" x14ac:dyDescent="0.25">
      <c r="A332" s="1">
        <v>1331</v>
      </c>
      <c r="B332" s="1" t="s">
        <v>30</v>
      </c>
      <c r="C332" s="1" t="s">
        <v>28</v>
      </c>
      <c r="D332" s="1" t="s">
        <v>23</v>
      </c>
      <c r="E332" s="1" t="s">
        <v>18</v>
      </c>
    </row>
    <row r="333" spans="1:5" ht="13.2" x14ac:dyDescent="0.25">
      <c r="A333" s="1">
        <v>1332</v>
      </c>
      <c r="B333" s="1" t="s">
        <v>26</v>
      </c>
      <c r="C333" s="1" t="s">
        <v>33</v>
      </c>
      <c r="D333" s="1" t="s">
        <v>21</v>
      </c>
      <c r="E333" s="1" t="s">
        <v>24</v>
      </c>
    </row>
    <row r="334" spans="1:5" ht="13.2" x14ac:dyDescent="0.25">
      <c r="A334" s="1">
        <v>1333</v>
      </c>
      <c r="B334" s="1" t="s">
        <v>22</v>
      </c>
      <c r="C334" s="1" t="s">
        <v>27</v>
      </c>
      <c r="D334" s="1" t="s">
        <v>23</v>
      </c>
      <c r="E334" s="1" t="s">
        <v>29</v>
      </c>
    </row>
    <row r="335" spans="1:5" ht="13.2" x14ac:dyDescent="0.25">
      <c r="A335" s="1">
        <v>1334</v>
      </c>
      <c r="B335" s="1" t="s">
        <v>19</v>
      </c>
      <c r="C335" s="1" t="s">
        <v>33</v>
      </c>
      <c r="D335" s="1" t="s">
        <v>23</v>
      </c>
      <c r="E335" s="1" t="s">
        <v>29</v>
      </c>
    </row>
    <row r="336" spans="1:5" ht="13.2" x14ac:dyDescent="0.25">
      <c r="A336" s="1">
        <v>1335</v>
      </c>
      <c r="B336" s="1" t="s">
        <v>31</v>
      </c>
      <c r="C336" s="1" t="s">
        <v>16</v>
      </c>
      <c r="D336" s="1" t="s">
        <v>23</v>
      </c>
      <c r="E336" s="1" t="s">
        <v>29</v>
      </c>
    </row>
    <row r="337" spans="1:5" ht="13.2" x14ac:dyDescent="0.25">
      <c r="A337" s="1">
        <v>1336</v>
      </c>
      <c r="B337" s="1" t="s">
        <v>36</v>
      </c>
      <c r="C337" s="1" t="s">
        <v>28</v>
      </c>
      <c r="D337" s="1" t="s">
        <v>17</v>
      </c>
      <c r="E337" s="1" t="s">
        <v>18</v>
      </c>
    </row>
    <row r="338" spans="1:5" ht="13.2" x14ac:dyDescent="0.25">
      <c r="A338" s="1">
        <v>1337</v>
      </c>
      <c r="B338" s="1" t="s">
        <v>22</v>
      </c>
      <c r="C338" s="1" t="s">
        <v>27</v>
      </c>
      <c r="D338" s="1" t="s">
        <v>17</v>
      </c>
      <c r="E338" s="1" t="s">
        <v>24</v>
      </c>
    </row>
    <row r="339" spans="1:5" ht="13.2" x14ac:dyDescent="0.25">
      <c r="A339" s="1">
        <v>1338</v>
      </c>
      <c r="B339" s="1" t="s">
        <v>22</v>
      </c>
      <c r="C339" s="1" t="s">
        <v>20</v>
      </c>
      <c r="D339" s="1" t="s">
        <v>17</v>
      </c>
      <c r="E339" s="1" t="s">
        <v>24</v>
      </c>
    </row>
    <row r="340" spans="1:5" ht="13.2" x14ac:dyDescent="0.25">
      <c r="A340" s="1">
        <v>1339</v>
      </c>
      <c r="B340" s="1" t="s">
        <v>22</v>
      </c>
      <c r="C340" s="1" t="s">
        <v>28</v>
      </c>
      <c r="D340" s="1" t="s">
        <v>17</v>
      </c>
      <c r="E340" s="1" t="s">
        <v>18</v>
      </c>
    </row>
    <row r="341" spans="1:5" ht="13.2" x14ac:dyDescent="0.25">
      <c r="A341" s="1">
        <v>1340</v>
      </c>
      <c r="B341" s="1" t="s">
        <v>35</v>
      </c>
      <c r="C341" s="1" t="s">
        <v>27</v>
      </c>
      <c r="D341" s="1" t="s">
        <v>17</v>
      </c>
      <c r="E341" s="1" t="s">
        <v>18</v>
      </c>
    </row>
    <row r="342" spans="1:5" ht="13.2" x14ac:dyDescent="0.25">
      <c r="A342" s="1">
        <v>1341</v>
      </c>
      <c r="B342" s="1" t="s">
        <v>26</v>
      </c>
      <c r="C342" s="1" t="s">
        <v>20</v>
      </c>
      <c r="D342" s="1" t="s">
        <v>17</v>
      </c>
      <c r="E342" s="1" t="s">
        <v>29</v>
      </c>
    </row>
    <row r="343" spans="1:5" ht="13.2" x14ac:dyDescent="0.25">
      <c r="A343" s="1">
        <v>1342</v>
      </c>
      <c r="B343" s="1" t="s">
        <v>34</v>
      </c>
      <c r="C343" s="1" t="s">
        <v>20</v>
      </c>
      <c r="D343" s="1" t="s">
        <v>21</v>
      </c>
      <c r="E343" s="1" t="s">
        <v>29</v>
      </c>
    </row>
    <row r="344" spans="1:5" ht="13.2" x14ac:dyDescent="0.25">
      <c r="A344" s="1">
        <v>1343</v>
      </c>
      <c r="B344" s="1" t="s">
        <v>19</v>
      </c>
      <c r="C344" s="1" t="s">
        <v>16</v>
      </c>
      <c r="D344" s="1" t="s">
        <v>17</v>
      </c>
      <c r="E344" s="1" t="s">
        <v>29</v>
      </c>
    </row>
    <row r="345" spans="1:5" ht="13.2" x14ac:dyDescent="0.25">
      <c r="A345" s="1">
        <v>1344</v>
      </c>
      <c r="B345" s="1" t="s">
        <v>32</v>
      </c>
      <c r="C345" s="1" t="s">
        <v>27</v>
      </c>
      <c r="D345" s="1" t="s">
        <v>21</v>
      </c>
      <c r="E345" s="1" t="s">
        <v>24</v>
      </c>
    </row>
    <row r="346" spans="1:5" ht="13.2" x14ac:dyDescent="0.25">
      <c r="A346" s="1">
        <v>1345</v>
      </c>
      <c r="B346" s="1" t="s">
        <v>19</v>
      </c>
      <c r="C346" s="1" t="s">
        <v>33</v>
      </c>
      <c r="D346" s="1" t="s">
        <v>17</v>
      </c>
      <c r="E346" s="1" t="s">
        <v>24</v>
      </c>
    </row>
    <row r="347" spans="1:5" ht="13.2" x14ac:dyDescent="0.25">
      <c r="A347" s="1">
        <v>1346</v>
      </c>
      <c r="B347" s="1" t="s">
        <v>30</v>
      </c>
      <c r="C347" s="1" t="s">
        <v>20</v>
      </c>
      <c r="D347" s="1" t="s">
        <v>21</v>
      </c>
      <c r="E347" s="1" t="s">
        <v>29</v>
      </c>
    </row>
    <row r="348" spans="1:5" ht="13.2" x14ac:dyDescent="0.25">
      <c r="A348" s="1">
        <v>1347</v>
      </c>
      <c r="B348" s="1" t="s">
        <v>15</v>
      </c>
      <c r="C348" s="1" t="s">
        <v>16</v>
      </c>
      <c r="D348" s="1" t="s">
        <v>17</v>
      </c>
      <c r="E348" s="1" t="s">
        <v>18</v>
      </c>
    </row>
    <row r="349" spans="1:5" ht="13.2" x14ac:dyDescent="0.25">
      <c r="A349" s="1">
        <v>1348</v>
      </c>
      <c r="B349" s="1" t="s">
        <v>19</v>
      </c>
      <c r="C349" s="1" t="s">
        <v>28</v>
      </c>
      <c r="D349" s="1" t="s">
        <v>17</v>
      </c>
      <c r="E349" s="1" t="s">
        <v>18</v>
      </c>
    </row>
    <row r="350" spans="1:5" ht="13.2" x14ac:dyDescent="0.25">
      <c r="A350" s="1">
        <v>1349</v>
      </c>
      <c r="B350" s="1" t="s">
        <v>31</v>
      </c>
      <c r="C350" s="1" t="s">
        <v>28</v>
      </c>
      <c r="D350" s="1" t="s">
        <v>21</v>
      </c>
      <c r="E350" s="1" t="s">
        <v>18</v>
      </c>
    </row>
    <row r="351" spans="1:5" ht="13.2" x14ac:dyDescent="0.25">
      <c r="A351" s="1">
        <v>1350</v>
      </c>
      <c r="B351" s="1" t="s">
        <v>36</v>
      </c>
      <c r="C351" s="1" t="s">
        <v>20</v>
      </c>
      <c r="D351" s="1" t="s">
        <v>17</v>
      </c>
      <c r="E351" s="1" t="s">
        <v>29</v>
      </c>
    </row>
    <row r="352" spans="1:5" ht="13.2" x14ac:dyDescent="0.25">
      <c r="A352" s="1">
        <v>1351</v>
      </c>
      <c r="B352" s="1" t="s">
        <v>19</v>
      </c>
      <c r="C352" s="1" t="s">
        <v>16</v>
      </c>
      <c r="D352" s="1" t="s">
        <v>17</v>
      </c>
      <c r="E352" s="1" t="s">
        <v>29</v>
      </c>
    </row>
    <row r="353" spans="1:5" ht="13.2" x14ac:dyDescent="0.25">
      <c r="A353" s="1">
        <v>1352</v>
      </c>
      <c r="B353" s="1" t="s">
        <v>15</v>
      </c>
      <c r="C353" s="1" t="s">
        <v>27</v>
      </c>
      <c r="D353" s="1" t="s">
        <v>17</v>
      </c>
      <c r="E353" s="1" t="s">
        <v>18</v>
      </c>
    </row>
    <row r="354" spans="1:5" ht="13.2" x14ac:dyDescent="0.25">
      <c r="A354" s="1">
        <v>1353</v>
      </c>
      <c r="B354" s="1" t="s">
        <v>15</v>
      </c>
      <c r="C354" s="1" t="s">
        <v>28</v>
      </c>
      <c r="D354" s="1" t="s">
        <v>21</v>
      </c>
      <c r="E354" s="1" t="s">
        <v>18</v>
      </c>
    </row>
    <row r="355" spans="1:5" ht="13.2" x14ac:dyDescent="0.25">
      <c r="A355" s="1">
        <v>1354</v>
      </c>
      <c r="B355" s="1" t="s">
        <v>31</v>
      </c>
      <c r="C355" s="1" t="s">
        <v>20</v>
      </c>
      <c r="D355" s="1" t="s">
        <v>17</v>
      </c>
      <c r="E355" s="1" t="s">
        <v>24</v>
      </c>
    </row>
    <row r="356" spans="1:5" ht="13.2" x14ac:dyDescent="0.25">
      <c r="A356" s="1">
        <v>1355</v>
      </c>
      <c r="B356" s="1" t="s">
        <v>15</v>
      </c>
      <c r="C356" s="1" t="s">
        <v>33</v>
      </c>
      <c r="D356" s="1" t="s">
        <v>23</v>
      </c>
      <c r="E356" s="1" t="s">
        <v>29</v>
      </c>
    </row>
    <row r="357" spans="1:5" ht="13.2" x14ac:dyDescent="0.25">
      <c r="A357" s="1">
        <v>1356</v>
      </c>
      <c r="B357" s="1" t="s">
        <v>15</v>
      </c>
      <c r="C357" s="1" t="s">
        <v>16</v>
      </c>
      <c r="D357" s="1" t="s">
        <v>23</v>
      </c>
      <c r="E357" s="1" t="s">
        <v>18</v>
      </c>
    </row>
    <row r="358" spans="1:5" ht="13.2" x14ac:dyDescent="0.25">
      <c r="A358" s="1">
        <v>1357</v>
      </c>
      <c r="B358" s="1" t="s">
        <v>31</v>
      </c>
      <c r="C358" s="1" t="s">
        <v>20</v>
      </c>
      <c r="D358" s="1" t="s">
        <v>21</v>
      </c>
      <c r="E358" s="1" t="s">
        <v>24</v>
      </c>
    </row>
    <row r="359" spans="1:5" ht="13.2" x14ac:dyDescent="0.25">
      <c r="A359" s="1">
        <v>1358</v>
      </c>
      <c r="B359" s="1" t="s">
        <v>35</v>
      </c>
      <c r="C359" s="1" t="s">
        <v>28</v>
      </c>
      <c r="D359" s="1" t="s">
        <v>17</v>
      </c>
      <c r="E359" s="1" t="s">
        <v>24</v>
      </c>
    </row>
    <row r="360" spans="1:5" ht="13.2" x14ac:dyDescent="0.25">
      <c r="A360" s="1">
        <v>1359</v>
      </c>
      <c r="B360" s="1" t="s">
        <v>26</v>
      </c>
      <c r="C360" s="1" t="s">
        <v>20</v>
      </c>
      <c r="D360" s="1" t="s">
        <v>21</v>
      </c>
      <c r="E360" s="1" t="s">
        <v>24</v>
      </c>
    </row>
    <row r="361" spans="1:5" ht="13.2" x14ac:dyDescent="0.25">
      <c r="A361" s="1">
        <v>1360</v>
      </c>
      <c r="B361" s="1" t="s">
        <v>34</v>
      </c>
      <c r="C361" s="1" t="s">
        <v>20</v>
      </c>
      <c r="D361" s="1" t="s">
        <v>17</v>
      </c>
      <c r="E361" s="1" t="s">
        <v>29</v>
      </c>
    </row>
    <row r="362" spans="1:5" ht="13.2" x14ac:dyDescent="0.25">
      <c r="A362" s="1">
        <v>1361</v>
      </c>
      <c r="B362" s="1" t="s">
        <v>31</v>
      </c>
      <c r="C362" s="1" t="s">
        <v>33</v>
      </c>
      <c r="D362" s="1" t="s">
        <v>23</v>
      </c>
      <c r="E362" s="1" t="s">
        <v>18</v>
      </c>
    </row>
    <row r="363" spans="1:5" ht="13.2" x14ac:dyDescent="0.25">
      <c r="A363" s="1">
        <v>1362</v>
      </c>
      <c r="B363" s="1" t="s">
        <v>31</v>
      </c>
      <c r="C363" s="1" t="s">
        <v>33</v>
      </c>
      <c r="D363" s="1" t="s">
        <v>23</v>
      </c>
      <c r="E363" s="1" t="s">
        <v>24</v>
      </c>
    </row>
    <row r="364" spans="1:5" ht="13.2" x14ac:dyDescent="0.25">
      <c r="A364" s="1">
        <v>1363</v>
      </c>
      <c r="B364" s="1" t="s">
        <v>15</v>
      </c>
      <c r="C364" s="1" t="s">
        <v>28</v>
      </c>
      <c r="D364" s="1" t="s">
        <v>17</v>
      </c>
      <c r="E364" s="1" t="s">
        <v>24</v>
      </c>
    </row>
    <row r="365" spans="1:5" ht="13.2" x14ac:dyDescent="0.25">
      <c r="A365" s="1">
        <v>1364</v>
      </c>
      <c r="B365" s="1" t="s">
        <v>36</v>
      </c>
      <c r="C365" s="1" t="s">
        <v>28</v>
      </c>
      <c r="D365" s="1" t="s">
        <v>23</v>
      </c>
      <c r="E365" s="1" t="s">
        <v>24</v>
      </c>
    </row>
    <row r="366" spans="1:5" ht="13.2" x14ac:dyDescent="0.25">
      <c r="A366" s="1">
        <v>1365</v>
      </c>
      <c r="B366" s="1" t="s">
        <v>22</v>
      </c>
      <c r="C366" s="1" t="s">
        <v>27</v>
      </c>
      <c r="D366" s="1" t="s">
        <v>23</v>
      </c>
      <c r="E366" s="1" t="s">
        <v>24</v>
      </c>
    </row>
    <row r="367" spans="1:5" ht="13.2" x14ac:dyDescent="0.25">
      <c r="A367" s="1">
        <v>1366</v>
      </c>
      <c r="B367" s="1" t="s">
        <v>36</v>
      </c>
      <c r="C367" s="1" t="s">
        <v>27</v>
      </c>
      <c r="D367" s="1" t="s">
        <v>17</v>
      </c>
      <c r="E367" s="1" t="s">
        <v>18</v>
      </c>
    </row>
    <row r="368" spans="1:5" ht="13.2" x14ac:dyDescent="0.25">
      <c r="A368" s="1">
        <v>1367</v>
      </c>
      <c r="B368" s="1" t="s">
        <v>15</v>
      </c>
      <c r="C368" s="1" t="s">
        <v>33</v>
      </c>
      <c r="D368" s="1" t="s">
        <v>17</v>
      </c>
      <c r="E368" s="1" t="s">
        <v>29</v>
      </c>
    </row>
    <row r="369" spans="1:5" ht="13.2" x14ac:dyDescent="0.25">
      <c r="A369" s="1">
        <v>1368</v>
      </c>
      <c r="B369" s="1" t="s">
        <v>22</v>
      </c>
      <c r="C369" s="1" t="s">
        <v>16</v>
      </c>
      <c r="D369" s="1" t="s">
        <v>17</v>
      </c>
      <c r="E369" s="1" t="s">
        <v>18</v>
      </c>
    </row>
    <row r="370" spans="1:5" ht="13.2" x14ac:dyDescent="0.25">
      <c r="A370" s="1">
        <v>1369</v>
      </c>
      <c r="B370" s="1" t="s">
        <v>15</v>
      </c>
      <c r="C370" s="1" t="s">
        <v>27</v>
      </c>
      <c r="D370" s="1" t="s">
        <v>23</v>
      </c>
      <c r="E370" s="1" t="s">
        <v>29</v>
      </c>
    </row>
    <row r="371" spans="1:5" ht="13.2" x14ac:dyDescent="0.25">
      <c r="A371" s="1">
        <v>1370</v>
      </c>
      <c r="B371" s="1" t="s">
        <v>22</v>
      </c>
      <c r="C371" s="1" t="s">
        <v>20</v>
      </c>
      <c r="D371" s="1" t="s">
        <v>21</v>
      </c>
      <c r="E371" s="1" t="s">
        <v>29</v>
      </c>
    </row>
    <row r="372" spans="1:5" ht="13.2" x14ac:dyDescent="0.25">
      <c r="A372" s="1">
        <v>1371</v>
      </c>
      <c r="B372" s="1" t="s">
        <v>30</v>
      </c>
      <c r="C372" s="1" t="s">
        <v>27</v>
      </c>
      <c r="D372" s="1" t="s">
        <v>17</v>
      </c>
      <c r="E372" s="1" t="s">
        <v>18</v>
      </c>
    </row>
    <row r="373" spans="1:5" ht="13.2" x14ac:dyDescent="0.25">
      <c r="A373" s="1">
        <v>1372</v>
      </c>
      <c r="B373" s="1" t="s">
        <v>30</v>
      </c>
      <c r="C373" s="1" t="s">
        <v>27</v>
      </c>
      <c r="D373" s="1" t="s">
        <v>17</v>
      </c>
      <c r="E373" s="1" t="s">
        <v>18</v>
      </c>
    </row>
    <row r="374" spans="1:5" ht="13.2" x14ac:dyDescent="0.25">
      <c r="A374" s="1">
        <v>1373</v>
      </c>
      <c r="B374" s="1" t="s">
        <v>32</v>
      </c>
      <c r="C374" s="1" t="s">
        <v>33</v>
      </c>
      <c r="D374" s="1" t="s">
        <v>17</v>
      </c>
      <c r="E374" s="1" t="s">
        <v>29</v>
      </c>
    </row>
    <row r="375" spans="1:5" ht="13.2" x14ac:dyDescent="0.25">
      <c r="A375" s="1">
        <v>1374</v>
      </c>
      <c r="B375" s="1" t="s">
        <v>32</v>
      </c>
      <c r="C375" s="1" t="s">
        <v>27</v>
      </c>
      <c r="D375" s="1" t="s">
        <v>17</v>
      </c>
      <c r="E375" s="1" t="s">
        <v>18</v>
      </c>
    </row>
    <row r="376" spans="1:5" ht="13.2" x14ac:dyDescent="0.25">
      <c r="A376" s="1">
        <v>1375</v>
      </c>
      <c r="B376" s="1" t="s">
        <v>35</v>
      </c>
      <c r="C376" s="1" t="s">
        <v>27</v>
      </c>
      <c r="D376" s="1" t="s">
        <v>21</v>
      </c>
      <c r="E376" s="1" t="s">
        <v>18</v>
      </c>
    </row>
    <row r="377" spans="1:5" ht="13.2" x14ac:dyDescent="0.25">
      <c r="A377" s="1">
        <v>1376</v>
      </c>
      <c r="B377" s="1" t="s">
        <v>32</v>
      </c>
      <c r="C377" s="1" t="s">
        <v>33</v>
      </c>
      <c r="D377" s="1" t="s">
        <v>23</v>
      </c>
      <c r="E377" s="1" t="s">
        <v>18</v>
      </c>
    </row>
    <row r="378" spans="1:5" ht="13.2" x14ac:dyDescent="0.25">
      <c r="A378" s="1">
        <v>1377</v>
      </c>
      <c r="B378" s="1" t="s">
        <v>22</v>
      </c>
      <c r="C378" s="1" t="s">
        <v>33</v>
      </c>
      <c r="D378" s="1" t="s">
        <v>21</v>
      </c>
      <c r="E378" s="1" t="s">
        <v>24</v>
      </c>
    </row>
    <row r="379" spans="1:5" ht="13.2" x14ac:dyDescent="0.25">
      <c r="A379" s="1">
        <v>1378</v>
      </c>
      <c r="B379" s="1" t="s">
        <v>31</v>
      </c>
      <c r="C379" s="1" t="s">
        <v>20</v>
      </c>
      <c r="D379" s="1" t="s">
        <v>17</v>
      </c>
      <c r="E379" s="1" t="s">
        <v>29</v>
      </c>
    </row>
    <row r="380" spans="1:5" ht="13.2" x14ac:dyDescent="0.25">
      <c r="A380" s="1">
        <v>1379</v>
      </c>
      <c r="B380" s="1" t="s">
        <v>36</v>
      </c>
      <c r="C380" s="1" t="s">
        <v>27</v>
      </c>
      <c r="D380" s="1" t="s">
        <v>23</v>
      </c>
      <c r="E380" s="1" t="s">
        <v>29</v>
      </c>
    </row>
    <row r="381" spans="1:5" ht="13.2" x14ac:dyDescent="0.25">
      <c r="A381" s="1">
        <v>1380</v>
      </c>
      <c r="B381" s="1" t="s">
        <v>31</v>
      </c>
      <c r="C381" s="1" t="s">
        <v>20</v>
      </c>
      <c r="D381" s="1" t="s">
        <v>21</v>
      </c>
      <c r="E381" s="1" t="s">
        <v>18</v>
      </c>
    </row>
    <row r="382" spans="1:5" ht="13.2" x14ac:dyDescent="0.25">
      <c r="A382" s="1">
        <v>1381</v>
      </c>
      <c r="B382" s="1" t="s">
        <v>36</v>
      </c>
      <c r="C382" s="1" t="s">
        <v>28</v>
      </c>
      <c r="D382" s="1" t="s">
        <v>21</v>
      </c>
      <c r="E382" s="1" t="s">
        <v>24</v>
      </c>
    </row>
    <row r="383" spans="1:5" ht="13.2" x14ac:dyDescent="0.25">
      <c r="A383" s="1">
        <v>1382</v>
      </c>
      <c r="B383" s="1" t="s">
        <v>15</v>
      </c>
      <c r="C383" s="1" t="s">
        <v>33</v>
      </c>
      <c r="D383" s="1" t="s">
        <v>17</v>
      </c>
      <c r="E383" s="1" t="s">
        <v>18</v>
      </c>
    </row>
    <row r="384" spans="1:5" ht="13.2" x14ac:dyDescent="0.25">
      <c r="A384" s="1">
        <v>1383</v>
      </c>
      <c r="B384" s="1" t="s">
        <v>19</v>
      </c>
      <c r="C384" s="1" t="s">
        <v>28</v>
      </c>
      <c r="D384" s="1" t="s">
        <v>17</v>
      </c>
      <c r="E384" s="1" t="s">
        <v>24</v>
      </c>
    </row>
    <row r="385" spans="1:5" ht="13.2" x14ac:dyDescent="0.25">
      <c r="A385" s="1">
        <v>1384</v>
      </c>
      <c r="B385" s="1" t="s">
        <v>22</v>
      </c>
      <c r="C385" s="1" t="s">
        <v>20</v>
      </c>
      <c r="D385" s="1" t="s">
        <v>21</v>
      </c>
      <c r="E385" s="1" t="s">
        <v>29</v>
      </c>
    </row>
    <row r="386" spans="1:5" ht="13.2" x14ac:dyDescent="0.25">
      <c r="A386" s="1">
        <v>1385</v>
      </c>
      <c r="B386" s="1" t="s">
        <v>31</v>
      </c>
      <c r="C386" s="1" t="s">
        <v>27</v>
      </c>
      <c r="D386" s="1" t="s">
        <v>17</v>
      </c>
      <c r="E386" s="1" t="s">
        <v>29</v>
      </c>
    </row>
    <row r="387" spans="1:5" ht="13.2" x14ac:dyDescent="0.25">
      <c r="A387" s="1">
        <v>1386</v>
      </c>
      <c r="B387" s="1" t="s">
        <v>31</v>
      </c>
      <c r="C387" s="1" t="s">
        <v>33</v>
      </c>
      <c r="D387" s="1" t="s">
        <v>17</v>
      </c>
      <c r="E387" s="1" t="s">
        <v>24</v>
      </c>
    </row>
    <row r="388" spans="1:5" ht="13.2" x14ac:dyDescent="0.25">
      <c r="A388" s="1">
        <v>1387</v>
      </c>
      <c r="B388" s="1" t="s">
        <v>31</v>
      </c>
      <c r="C388" s="1" t="s">
        <v>20</v>
      </c>
      <c r="D388" s="1" t="s">
        <v>23</v>
      </c>
      <c r="E388" s="1" t="s">
        <v>24</v>
      </c>
    </row>
    <row r="389" spans="1:5" ht="13.2" x14ac:dyDescent="0.25">
      <c r="A389" s="1">
        <v>1388</v>
      </c>
      <c r="B389" s="1" t="s">
        <v>26</v>
      </c>
      <c r="C389" s="1" t="s">
        <v>28</v>
      </c>
      <c r="D389" s="1" t="s">
        <v>17</v>
      </c>
      <c r="E389" s="1" t="s">
        <v>29</v>
      </c>
    </row>
    <row r="390" spans="1:5" ht="13.2" x14ac:dyDescent="0.25">
      <c r="A390" s="1">
        <v>1389</v>
      </c>
      <c r="B390" s="1" t="s">
        <v>32</v>
      </c>
      <c r="C390" s="1" t="s">
        <v>27</v>
      </c>
      <c r="D390" s="1" t="s">
        <v>21</v>
      </c>
      <c r="E390" s="1" t="s">
        <v>29</v>
      </c>
    </row>
    <row r="391" spans="1:5" ht="13.2" x14ac:dyDescent="0.25">
      <c r="A391" s="1">
        <v>1390</v>
      </c>
      <c r="B391" s="1" t="s">
        <v>19</v>
      </c>
      <c r="C391" s="1" t="s">
        <v>20</v>
      </c>
      <c r="D391" s="1" t="s">
        <v>23</v>
      </c>
      <c r="E391" s="1" t="s">
        <v>18</v>
      </c>
    </row>
    <row r="392" spans="1:5" ht="13.2" x14ac:dyDescent="0.25">
      <c r="A392" s="1">
        <v>1391</v>
      </c>
      <c r="B392" s="1" t="s">
        <v>19</v>
      </c>
      <c r="C392" s="1" t="s">
        <v>27</v>
      </c>
      <c r="D392" s="1" t="s">
        <v>21</v>
      </c>
      <c r="E392" s="1" t="s">
        <v>24</v>
      </c>
    </row>
    <row r="393" spans="1:5" ht="13.2" x14ac:dyDescent="0.25">
      <c r="A393" s="1">
        <v>1392</v>
      </c>
      <c r="B393" s="1" t="s">
        <v>22</v>
      </c>
      <c r="C393" s="1" t="s">
        <v>20</v>
      </c>
      <c r="D393" s="1" t="s">
        <v>17</v>
      </c>
      <c r="E393" s="1" t="s">
        <v>24</v>
      </c>
    </row>
    <row r="394" spans="1:5" ht="13.2" x14ac:dyDescent="0.25">
      <c r="A394" s="1">
        <v>1393</v>
      </c>
      <c r="B394" s="1" t="s">
        <v>22</v>
      </c>
      <c r="C394" s="1" t="s">
        <v>28</v>
      </c>
      <c r="D394" s="1" t="s">
        <v>23</v>
      </c>
      <c r="E394" s="1" t="s">
        <v>29</v>
      </c>
    </row>
    <row r="395" spans="1:5" ht="13.2" x14ac:dyDescent="0.25">
      <c r="A395" s="1">
        <v>1394</v>
      </c>
      <c r="B395" s="1" t="s">
        <v>30</v>
      </c>
      <c r="C395" s="1" t="s">
        <v>16</v>
      </c>
      <c r="D395" s="1" t="s">
        <v>17</v>
      </c>
      <c r="E395" s="1" t="s">
        <v>29</v>
      </c>
    </row>
    <row r="396" spans="1:5" ht="13.2" x14ac:dyDescent="0.25">
      <c r="A396" s="1">
        <v>1395</v>
      </c>
      <c r="B396" s="1" t="s">
        <v>36</v>
      </c>
      <c r="C396" s="1" t="s">
        <v>33</v>
      </c>
      <c r="D396" s="1" t="s">
        <v>23</v>
      </c>
      <c r="E396" s="1" t="s">
        <v>29</v>
      </c>
    </row>
    <row r="397" spans="1:5" ht="13.2" x14ac:dyDescent="0.25">
      <c r="A397" s="1">
        <v>1396</v>
      </c>
      <c r="B397" s="1" t="s">
        <v>36</v>
      </c>
      <c r="C397" s="1" t="s">
        <v>27</v>
      </c>
      <c r="D397" s="1" t="s">
        <v>17</v>
      </c>
      <c r="E397" s="1" t="s">
        <v>29</v>
      </c>
    </row>
    <row r="398" spans="1:5" ht="13.2" x14ac:dyDescent="0.25">
      <c r="A398" s="1">
        <v>1397</v>
      </c>
      <c r="B398" s="1" t="s">
        <v>30</v>
      </c>
      <c r="C398" s="1" t="s">
        <v>33</v>
      </c>
      <c r="D398" s="1" t="s">
        <v>21</v>
      </c>
      <c r="E398" s="1" t="s">
        <v>29</v>
      </c>
    </row>
    <row r="399" spans="1:5" ht="13.2" x14ac:dyDescent="0.25">
      <c r="A399" s="1">
        <v>1398</v>
      </c>
      <c r="B399" s="1" t="s">
        <v>15</v>
      </c>
      <c r="C399" s="1" t="s">
        <v>20</v>
      </c>
      <c r="D399" s="1" t="s">
        <v>17</v>
      </c>
      <c r="E399" s="1" t="s">
        <v>18</v>
      </c>
    </row>
    <row r="400" spans="1:5" ht="13.2" x14ac:dyDescent="0.25">
      <c r="A400" s="1">
        <v>1399</v>
      </c>
      <c r="B400" s="1" t="s">
        <v>32</v>
      </c>
      <c r="C400" s="1" t="s">
        <v>33</v>
      </c>
      <c r="D400" s="1" t="s">
        <v>21</v>
      </c>
      <c r="E400" s="1" t="s">
        <v>24</v>
      </c>
    </row>
    <row r="401" spans="1:5" ht="13.2" x14ac:dyDescent="0.25">
      <c r="A401" s="1">
        <v>1400</v>
      </c>
      <c r="B401" s="1" t="s">
        <v>31</v>
      </c>
      <c r="C401" s="1" t="s">
        <v>27</v>
      </c>
      <c r="D401" s="1" t="s">
        <v>21</v>
      </c>
      <c r="E401" s="1" t="s">
        <v>24</v>
      </c>
    </row>
    <row r="402" spans="1:5" ht="13.2" x14ac:dyDescent="0.25">
      <c r="A402" s="1">
        <v>1401</v>
      </c>
      <c r="B402" s="1" t="s">
        <v>30</v>
      </c>
      <c r="C402" s="1" t="s">
        <v>27</v>
      </c>
      <c r="D402" s="1" t="s">
        <v>23</v>
      </c>
      <c r="E402" s="1" t="s">
        <v>18</v>
      </c>
    </row>
    <row r="403" spans="1:5" ht="13.2" x14ac:dyDescent="0.25">
      <c r="A403" s="1">
        <v>1402</v>
      </c>
      <c r="B403" s="1" t="s">
        <v>22</v>
      </c>
      <c r="C403" s="1" t="s">
        <v>27</v>
      </c>
      <c r="D403" s="1" t="s">
        <v>23</v>
      </c>
      <c r="E403" s="1" t="s">
        <v>24</v>
      </c>
    </row>
    <row r="404" spans="1:5" ht="13.2" x14ac:dyDescent="0.25">
      <c r="A404" s="1">
        <v>1403</v>
      </c>
      <c r="B404" s="1" t="s">
        <v>22</v>
      </c>
      <c r="C404" s="1" t="s">
        <v>16</v>
      </c>
      <c r="D404" s="1" t="s">
        <v>17</v>
      </c>
      <c r="E404" s="1" t="s">
        <v>24</v>
      </c>
    </row>
    <row r="405" spans="1:5" ht="13.2" x14ac:dyDescent="0.25">
      <c r="A405" s="1">
        <v>1404</v>
      </c>
      <c r="B405" s="1" t="s">
        <v>31</v>
      </c>
      <c r="C405" s="1" t="s">
        <v>16</v>
      </c>
      <c r="D405" s="1" t="s">
        <v>17</v>
      </c>
      <c r="E405" s="1" t="s">
        <v>24</v>
      </c>
    </row>
    <row r="406" spans="1:5" ht="13.2" x14ac:dyDescent="0.25">
      <c r="A406" s="1">
        <v>1405</v>
      </c>
      <c r="B406" s="1" t="s">
        <v>30</v>
      </c>
      <c r="C406" s="1" t="s">
        <v>27</v>
      </c>
      <c r="D406" s="1" t="s">
        <v>23</v>
      </c>
      <c r="E406" s="1" t="s">
        <v>18</v>
      </c>
    </row>
    <row r="407" spans="1:5" ht="13.2" x14ac:dyDescent="0.25">
      <c r="A407" s="1">
        <v>1406</v>
      </c>
      <c r="B407" s="1" t="s">
        <v>36</v>
      </c>
      <c r="C407" s="1" t="s">
        <v>33</v>
      </c>
      <c r="D407" s="1" t="s">
        <v>21</v>
      </c>
      <c r="E407" s="1" t="s">
        <v>29</v>
      </c>
    </row>
    <row r="408" spans="1:5" ht="13.2" x14ac:dyDescent="0.25">
      <c r="A408" s="1">
        <v>1407</v>
      </c>
      <c r="B408" s="1" t="s">
        <v>34</v>
      </c>
      <c r="C408" s="1" t="s">
        <v>20</v>
      </c>
      <c r="D408" s="1" t="s">
        <v>17</v>
      </c>
      <c r="E408" s="1" t="s">
        <v>18</v>
      </c>
    </row>
    <row r="409" spans="1:5" ht="13.2" x14ac:dyDescent="0.25">
      <c r="A409" s="1">
        <v>1408</v>
      </c>
      <c r="B409" s="1" t="s">
        <v>15</v>
      </c>
      <c r="C409" s="1" t="s">
        <v>28</v>
      </c>
      <c r="D409" s="1" t="s">
        <v>21</v>
      </c>
      <c r="E409" s="1" t="s">
        <v>18</v>
      </c>
    </row>
    <row r="410" spans="1:5" ht="13.2" x14ac:dyDescent="0.25">
      <c r="A410" s="1">
        <v>1409</v>
      </c>
      <c r="B410" s="1" t="s">
        <v>26</v>
      </c>
      <c r="C410" s="1" t="s">
        <v>16</v>
      </c>
      <c r="D410" s="1" t="s">
        <v>23</v>
      </c>
      <c r="E410" s="1" t="s">
        <v>18</v>
      </c>
    </row>
    <row r="411" spans="1:5" ht="13.2" x14ac:dyDescent="0.25">
      <c r="A411" s="1">
        <v>1410</v>
      </c>
      <c r="B411" s="1" t="s">
        <v>15</v>
      </c>
      <c r="C411" s="1" t="s">
        <v>20</v>
      </c>
      <c r="D411" s="1" t="s">
        <v>17</v>
      </c>
      <c r="E411" s="1" t="s">
        <v>24</v>
      </c>
    </row>
    <row r="412" spans="1:5" ht="13.2" x14ac:dyDescent="0.25">
      <c r="A412" s="1">
        <v>1411</v>
      </c>
      <c r="B412" s="1" t="s">
        <v>31</v>
      </c>
      <c r="C412" s="1" t="s">
        <v>33</v>
      </c>
      <c r="D412" s="1" t="s">
        <v>23</v>
      </c>
      <c r="E412" s="1" t="s">
        <v>18</v>
      </c>
    </row>
    <row r="413" spans="1:5" ht="13.2" x14ac:dyDescent="0.25">
      <c r="A413" s="1">
        <v>1412</v>
      </c>
      <c r="B413" s="1" t="s">
        <v>30</v>
      </c>
      <c r="C413" s="1" t="s">
        <v>20</v>
      </c>
      <c r="D413" s="1" t="s">
        <v>21</v>
      </c>
      <c r="E413" s="1" t="s">
        <v>24</v>
      </c>
    </row>
    <row r="414" spans="1:5" ht="13.2" x14ac:dyDescent="0.25">
      <c r="A414" s="1">
        <v>1413</v>
      </c>
      <c r="B414" s="1" t="s">
        <v>32</v>
      </c>
      <c r="C414" s="1" t="s">
        <v>28</v>
      </c>
      <c r="D414" s="1" t="s">
        <v>23</v>
      </c>
      <c r="E414" s="1" t="s">
        <v>18</v>
      </c>
    </row>
    <row r="415" spans="1:5" ht="13.2" x14ac:dyDescent="0.25">
      <c r="A415" s="1">
        <v>1414</v>
      </c>
      <c r="B415" s="1" t="s">
        <v>36</v>
      </c>
      <c r="C415" s="1" t="s">
        <v>33</v>
      </c>
      <c r="D415" s="1" t="s">
        <v>23</v>
      </c>
      <c r="E415" s="1" t="s">
        <v>29</v>
      </c>
    </row>
    <row r="416" spans="1:5" ht="13.2" x14ac:dyDescent="0.25">
      <c r="A416" s="1">
        <v>1415</v>
      </c>
      <c r="B416" s="1" t="s">
        <v>26</v>
      </c>
      <c r="C416" s="1" t="s">
        <v>16</v>
      </c>
      <c r="D416" s="1" t="s">
        <v>23</v>
      </c>
      <c r="E416" s="1" t="s">
        <v>24</v>
      </c>
    </row>
    <row r="417" spans="1:5" ht="13.2" x14ac:dyDescent="0.25">
      <c r="A417" s="1">
        <v>1416</v>
      </c>
      <c r="B417" s="1" t="s">
        <v>26</v>
      </c>
      <c r="C417" s="1" t="s">
        <v>16</v>
      </c>
      <c r="D417" s="1" t="s">
        <v>21</v>
      </c>
      <c r="E417" s="1" t="s">
        <v>18</v>
      </c>
    </row>
    <row r="418" spans="1:5" ht="13.2" x14ac:dyDescent="0.25">
      <c r="A418" s="1">
        <v>1417</v>
      </c>
      <c r="B418" s="1" t="s">
        <v>22</v>
      </c>
      <c r="C418" s="1" t="s">
        <v>28</v>
      </c>
      <c r="D418" s="1" t="s">
        <v>17</v>
      </c>
      <c r="E418" s="1" t="s">
        <v>24</v>
      </c>
    </row>
    <row r="419" spans="1:5" ht="13.2" x14ac:dyDescent="0.25">
      <c r="A419" s="1">
        <v>1418</v>
      </c>
      <c r="B419" s="1" t="s">
        <v>35</v>
      </c>
      <c r="C419" s="1" t="s">
        <v>33</v>
      </c>
      <c r="D419" s="1" t="s">
        <v>23</v>
      </c>
      <c r="E419" s="1" t="s">
        <v>29</v>
      </c>
    </row>
    <row r="420" spans="1:5" ht="13.2" x14ac:dyDescent="0.25">
      <c r="A420" s="1">
        <v>1419</v>
      </c>
      <c r="B420" s="1" t="s">
        <v>30</v>
      </c>
      <c r="C420" s="1" t="s">
        <v>28</v>
      </c>
      <c r="D420" s="1" t="s">
        <v>21</v>
      </c>
      <c r="E420" s="1" t="s">
        <v>29</v>
      </c>
    </row>
    <row r="421" spans="1:5" ht="13.2" x14ac:dyDescent="0.25">
      <c r="A421" s="1">
        <v>1420</v>
      </c>
      <c r="B421" s="1" t="s">
        <v>34</v>
      </c>
      <c r="C421" s="1" t="s">
        <v>27</v>
      </c>
      <c r="D421" s="1" t="s">
        <v>23</v>
      </c>
      <c r="E421" s="1" t="s">
        <v>29</v>
      </c>
    </row>
    <row r="422" spans="1:5" ht="13.2" x14ac:dyDescent="0.25">
      <c r="A422" s="1">
        <v>1421</v>
      </c>
      <c r="B422" s="1" t="s">
        <v>36</v>
      </c>
      <c r="C422" s="1" t="s">
        <v>27</v>
      </c>
      <c r="D422" s="1" t="s">
        <v>21</v>
      </c>
      <c r="E422" s="1" t="s">
        <v>24</v>
      </c>
    </row>
    <row r="423" spans="1:5" ht="13.2" x14ac:dyDescent="0.25">
      <c r="A423" s="1">
        <v>1422</v>
      </c>
      <c r="B423" s="1" t="s">
        <v>15</v>
      </c>
      <c r="C423" s="1" t="s">
        <v>20</v>
      </c>
      <c r="D423" s="1" t="s">
        <v>23</v>
      </c>
      <c r="E423" s="1" t="s">
        <v>24</v>
      </c>
    </row>
    <row r="424" spans="1:5" ht="13.2" x14ac:dyDescent="0.25">
      <c r="A424" s="1">
        <v>1423</v>
      </c>
      <c r="B424" s="1" t="s">
        <v>30</v>
      </c>
      <c r="C424" s="1" t="s">
        <v>33</v>
      </c>
      <c r="D424" s="1" t="s">
        <v>21</v>
      </c>
      <c r="E424" s="1" t="s">
        <v>29</v>
      </c>
    </row>
    <row r="425" spans="1:5" ht="13.2" x14ac:dyDescent="0.25">
      <c r="A425" s="1">
        <v>1424</v>
      </c>
      <c r="B425" s="1" t="s">
        <v>34</v>
      </c>
      <c r="C425" s="1" t="s">
        <v>33</v>
      </c>
      <c r="D425" s="1" t="s">
        <v>21</v>
      </c>
      <c r="E425" s="1" t="s">
        <v>18</v>
      </c>
    </row>
    <row r="426" spans="1:5" ht="13.2" x14ac:dyDescent="0.25">
      <c r="A426" s="1">
        <v>1425</v>
      </c>
      <c r="B426" s="1" t="s">
        <v>32</v>
      </c>
      <c r="C426" s="1" t="s">
        <v>28</v>
      </c>
      <c r="D426" s="1" t="s">
        <v>21</v>
      </c>
      <c r="E426" s="1" t="s">
        <v>24</v>
      </c>
    </row>
    <row r="427" spans="1:5" ht="13.2" x14ac:dyDescent="0.25">
      <c r="A427" s="1">
        <v>1426</v>
      </c>
      <c r="B427" s="1" t="s">
        <v>15</v>
      </c>
      <c r="C427" s="1" t="s">
        <v>28</v>
      </c>
      <c r="D427" s="1" t="s">
        <v>21</v>
      </c>
      <c r="E427" s="1" t="s">
        <v>24</v>
      </c>
    </row>
    <row r="428" spans="1:5" ht="13.2" x14ac:dyDescent="0.25">
      <c r="A428" s="1">
        <v>1427</v>
      </c>
      <c r="B428" s="1" t="s">
        <v>26</v>
      </c>
      <c r="C428" s="1" t="s">
        <v>28</v>
      </c>
      <c r="D428" s="1" t="s">
        <v>23</v>
      </c>
      <c r="E428" s="1" t="s">
        <v>18</v>
      </c>
    </row>
    <row r="429" spans="1:5" ht="13.2" x14ac:dyDescent="0.25">
      <c r="A429" s="1">
        <v>1428</v>
      </c>
      <c r="B429" s="1" t="s">
        <v>34</v>
      </c>
      <c r="C429" s="1" t="s">
        <v>27</v>
      </c>
      <c r="D429" s="1" t="s">
        <v>23</v>
      </c>
      <c r="E429" s="1" t="s">
        <v>29</v>
      </c>
    </row>
    <row r="430" spans="1:5" ht="13.2" x14ac:dyDescent="0.25">
      <c r="A430" s="1">
        <v>1429</v>
      </c>
      <c r="B430" s="1" t="s">
        <v>34</v>
      </c>
      <c r="C430" s="1" t="s">
        <v>33</v>
      </c>
      <c r="D430" s="1" t="s">
        <v>23</v>
      </c>
      <c r="E430" s="1" t="s">
        <v>24</v>
      </c>
    </row>
    <row r="431" spans="1:5" ht="13.2" x14ac:dyDescent="0.25">
      <c r="A431" s="1">
        <v>1430</v>
      </c>
      <c r="B431" s="1" t="s">
        <v>15</v>
      </c>
      <c r="C431" s="1" t="s">
        <v>33</v>
      </c>
      <c r="D431" s="1" t="s">
        <v>21</v>
      </c>
      <c r="E431" s="1" t="s">
        <v>24</v>
      </c>
    </row>
    <row r="432" spans="1:5" ht="13.2" x14ac:dyDescent="0.25">
      <c r="A432" s="1">
        <v>1431</v>
      </c>
      <c r="B432" s="1" t="s">
        <v>35</v>
      </c>
      <c r="C432" s="1" t="s">
        <v>33</v>
      </c>
      <c r="D432" s="1" t="s">
        <v>21</v>
      </c>
      <c r="E432" s="1" t="s">
        <v>24</v>
      </c>
    </row>
    <row r="433" spans="1:5" ht="13.2" x14ac:dyDescent="0.25">
      <c r="A433" s="1">
        <v>1432</v>
      </c>
      <c r="B433" s="1" t="s">
        <v>35</v>
      </c>
      <c r="C433" s="1" t="s">
        <v>27</v>
      </c>
      <c r="D433" s="1" t="s">
        <v>21</v>
      </c>
      <c r="E433" s="1" t="s">
        <v>24</v>
      </c>
    </row>
    <row r="434" spans="1:5" ht="13.2" x14ac:dyDescent="0.25">
      <c r="A434" s="1">
        <v>1433</v>
      </c>
      <c r="B434" s="1" t="s">
        <v>35</v>
      </c>
      <c r="C434" s="1" t="s">
        <v>33</v>
      </c>
      <c r="D434" s="1" t="s">
        <v>23</v>
      </c>
      <c r="E434" s="1" t="s">
        <v>24</v>
      </c>
    </row>
    <row r="435" spans="1:5" ht="13.2" x14ac:dyDescent="0.25">
      <c r="A435" s="1">
        <v>1434</v>
      </c>
      <c r="B435" s="1" t="s">
        <v>34</v>
      </c>
      <c r="C435" s="1" t="s">
        <v>33</v>
      </c>
      <c r="D435" s="1" t="s">
        <v>23</v>
      </c>
      <c r="E435" s="1" t="s">
        <v>18</v>
      </c>
    </row>
    <row r="436" spans="1:5" ht="13.2" x14ac:dyDescent="0.25">
      <c r="A436" s="1">
        <v>1435</v>
      </c>
      <c r="B436" s="1" t="s">
        <v>15</v>
      </c>
      <c r="C436" s="1" t="s">
        <v>27</v>
      </c>
      <c r="D436" s="1" t="s">
        <v>23</v>
      </c>
      <c r="E436" s="1" t="s">
        <v>18</v>
      </c>
    </row>
    <row r="437" spans="1:5" ht="13.2" x14ac:dyDescent="0.25">
      <c r="A437" s="1">
        <v>1436</v>
      </c>
      <c r="B437" s="1" t="s">
        <v>30</v>
      </c>
      <c r="C437" s="1" t="s">
        <v>27</v>
      </c>
      <c r="D437" s="1" t="s">
        <v>23</v>
      </c>
      <c r="E437" s="1" t="s">
        <v>29</v>
      </c>
    </row>
    <row r="438" spans="1:5" ht="13.2" x14ac:dyDescent="0.25">
      <c r="A438" s="1">
        <v>1437</v>
      </c>
      <c r="B438" s="1" t="s">
        <v>32</v>
      </c>
      <c r="C438" s="1" t="s">
        <v>16</v>
      </c>
      <c r="D438" s="1" t="s">
        <v>17</v>
      </c>
      <c r="E438" s="1" t="s">
        <v>24</v>
      </c>
    </row>
    <row r="439" spans="1:5" ht="13.2" x14ac:dyDescent="0.25">
      <c r="A439" s="1">
        <v>1438</v>
      </c>
      <c r="B439" s="1" t="s">
        <v>26</v>
      </c>
      <c r="C439" s="1" t="s">
        <v>33</v>
      </c>
      <c r="D439" s="1" t="s">
        <v>23</v>
      </c>
      <c r="E439" s="1" t="s">
        <v>18</v>
      </c>
    </row>
    <row r="440" spans="1:5" ht="13.2" x14ac:dyDescent="0.25">
      <c r="A440" s="1">
        <v>1439</v>
      </c>
      <c r="B440" s="1" t="s">
        <v>34</v>
      </c>
      <c r="C440" s="1" t="s">
        <v>28</v>
      </c>
      <c r="D440" s="1" t="s">
        <v>17</v>
      </c>
      <c r="E440" s="1" t="s">
        <v>18</v>
      </c>
    </row>
    <row r="441" spans="1:5" ht="13.2" x14ac:dyDescent="0.25">
      <c r="A441" s="1">
        <v>1440</v>
      </c>
      <c r="B441" s="1" t="s">
        <v>26</v>
      </c>
      <c r="C441" s="1" t="s">
        <v>20</v>
      </c>
      <c r="D441" s="1" t="s">
        <v>17</v>
      </c>
      <c r="E441" s="1" t="s">
        <v>24</v>
      </c>
    </row>
    <row r="442" spans="1:5" ht="13.2" x14ac:dyDescent="0.25">
      <c r="A442" s="1">
        <v>1441</v>
      </c>
      <c r="B442" s="1" t="s">
        <v>30</v>
      </c>
      <c r="C442" s="1" t="s">
        <v>20</v>
      </c>
      <c r="D442" s="1" t="s">
        <v>17</v>
      </c>
      <c r="E442" s="1" t="s">
        <v>24</v>
      </c>
    </row>
    <row r="443" spans="1:5" ht="13.2" x14ac:dyDescent="0.25">
      <c r="A443" s="1">
        <v>1442</v>
      </c>
      <c r="B443" s="1" t="s">
        <v>34</v>
      </c>
      <c r="C443" s="1" t="s">
        <v>27</v>
      </c>
      <c r="D443" s="1" t="s">
        <v>23</v>
      </c>
      <c r="E443" s="1" t="s">
        <v>24</v>
      </c>
    </row>
    <row r="444" spans="1:5" ht="13.2" x14ac:dyDescent="0.25">
      <c r="A444" s="1">
        <v>1443</v>
      </c>
      <c r="B444" s="1" t="s">
        <v>31</v>
      </c>
      <c r="C444" s="1" t="s">
        <v>28</v>
      </c>
      <c r="D444" s="1" t="s">
        <v>21</v>
      </c>
      <c r="E444" s="1" t="s">
        <v>29</v>
      </c>
    </row>
    <row r="445" spans="1:5" ht="13.2" x14ac:dyDescent="0.25">
      <c r="A445" s="1">
        <v>1444</v>
      </c>
      <c r="B445" s="1" t="s">
        <v>19</v>
      </c>
      <c r="C445" s="1" t="s">
        <v>16</v>
      </c>
      <c r="D445" s="1" t="s">
        <v>23</v>
      </c>
      <c r="E445" s="1" t="s">
        <v>24</v>
      </c>
    </row>
    <row r="446" spans="1:5" ht="13.2" x14ac:dyDescent="0.25">
      <c r="A446" s="1">
        <v>1445</v>
      </c>
      <c r="B446" s="1" t="s">
        <v>19</v>
      </c>
      <c r="C446" s="1" t="s">
        <v>33</v>
      </c>
      <c r="D446" s="1" t="s">
        <v>23</v>
      </c>
      <c r="E446" s="1" t="s">
        <v>18</v>
      </c>
    </row>
    <row r="447" spans="1:5" ht="13.2" x14ac:dyDescent="0.25">
      <c r="A447" s="1">
        <v>1446</v>
      </c>
      <c r="B447" s="1" t="s">
        <v>22</v>
      </c>
      <c r="C447" s="1" t="s">
        <v>16</v>
      </c>
      <c r="D447" s="1" t="s">
        <v>21</v>
      </c>
      <c r="E447" s="1" t="s">
        <v>29</v>
      </c>
    </row>
    <row r="448" spans="1:5" ht="13.2" x14ac:dyDescent="0.25">
      <c r="A448" s="1">
        <v>1447</v>
      </c>
      <c r="B448" s="1" t="s">
        <v>34</v>
      </c>
      <c r="C448" s="1" t="s">
        <v>27</v>
      </c>
      <c r="D448" s="1" t="s">
        <v>21</v>
      </c>
      <c r="E448" s="1" t="s">
        <v>24</v>
      </c>
    </row>
    <row r="449" spans="1:5" ht="13.2" x14ac:dyDescent="0.25">
      <c r="A449" s="1">
        <v>1448</v>
      </c>
      <c r="B449" s="1" t="s">
        <v>35</v>
      </c>
      <c r="C449" s="1" t="s">
        <v>20</v>
      </c>
      <c r="D449" s="1" t="s">
        <v>17</v>
      </c>
      <c r="E449" s="1" t="s">
        <v>24</v>
      </c>
    </row>
    <row r="450" spans="1:5" ht="13.2" x14ac:dyDescent="0.25">
      <c r="A450" s="1">
        <v>1449</v>
      </c>
      <c r="B450" s="1" t="s">
        <v>22</v>
      </c>
      <c r="C450" s="1" t="s">
        <v>20</v>
      </c>
      <c r="D450" s="1" t="s">
        <v>23</v>
      </c>
      <c r="E450" s="1" t="s">
        <v>24</v>
      </c>
    </row>
    <row r="451" spans="1:5" ht="13.2" x14ac:dyDescent="0.25">
      <c r="A451" s="1">
        <v>1450</v>
      </c>
      <c r="B451" s="1" t="s">
        <v>35</v>
      </c>
      <c r="C451" s="1" t="s">
        <v>28</v>
      </c>
      <c r="D451" s="1" t="s">
        <v>23</v>
      </c>
      <c r="E451" s="1" t="s">
        <v>29</v>
      </c>
    </row>
    <row r="452" spans="1:5" ht="13.2" x14ac:dyDescent="0.25">
      <c r="A452" s="1">
        <v>1451</v>
      </c>
      <c r="B452" s="1" t="s">
        <v>34</v>
      </c>
      <c r="C452" s="1" t="s">
        <v>33</v>
      </c>
      <c r="D452" s="1" t="s">
        <v>17</v>
      </c>
      <c r="E452" s="1" t="s">
        <v>29</v>
      </c>
    </row>
    <row r="453" spans="1:5" ht="13.2" x14ac:dyDescent="0.25">
      <c r="A453" s="1">
        <v>1452</v>
      </c>
      <c r="B453" s="1" t="s">
        <v>34</v>
      </c>
      <c r="C453" s="1" t="s">
        <v>20</v>
      </c>
      <c r="D453" s="1" t="s">
        <v>21</v>
      </c>
      <c r="E453" s="1" t="s">
        <v>18</v>
      </c>
    </row>
    <row r="454" spans="1:5" ht="13.2" x14ac:dyDescent="0.25">
      <c r="A454" s="1">
        <v>1453</v>
      </c>
      <c r="B454" s="1" t="s">
        <v>36</v>
      </c>
      <c r="C454" s="1" t="s">
        <v>16</v>
      </c>
      <c r="D454" s="1" t="s">
        <v>21</v>
      </c>
      <c r="E454" s="1" t="s">
        <v>24</v>
      </c>
    </row>
    <row r="455" spans="1:5" ht="13.2" x14ac:dyDescent="0.25">
      <c r="A455" s="1">
        <v>1454</v>
      </c>
      <c r="B455" s="1" t="s">
        <v>30</v>
      </c>
      <c r="C455" s="1" t="s">
        <v>28</v>
      </c>
      <c r="D455" s="1" t="s">
        <v>21</v>
      </c>
      <c r="E455" s="1" t="s">
        <v>18</v>
      </c>
    </row>
    <row r="456" spans="1:5" ht="13.2" x14ac:dyDescent="0.25">
      <c r="A456" s="1">
        <v>1455</v>
      </c>
      <c r="B456" s="1" t="s">
        <v>26</v>
      </c>
      <c r="C456" s="1" t="s">
        <v>33</v>
      </c>
      <c r="D456" s="1" t="s">
        <v>21</v>
      </c>
      <c r="E456" s="1" t="s">
        <v>18</v>
      </c>
    </row>
    <row r="457" spans="1:5" ht="13.2" x14ac:dyDescent="0.25">
      <c r="A457" s="1">
        <v>1456</v>
      </c>
      <c r="B457" s="1" t="s">
        <v>15</v>
      </c>
      <c r="C457" s="1" t="s">
        <v>33</v>
      </c>
      <c r="D457" s="1" t="s">
        <v>21</v>
      </c>
      <c r="E457" s="1" t="s">
        <v>29</v>
      </c>
    </row>
    <row r="458" spans="1:5" ht="13.2" x14ac:dyDescent="0.25">
      <c r="A458" s="1">
        <v>1457</v>
      </c>
      <c r="B458" s="1" t="s">
        <v>22</v>
      </c>
      <c r="C458" s="1" t="s">
        <v>16</v>
      </c>
      <c r="D458" s="1" t="s">
        <v>21</v>
      </c>
      <c r="E458" s="1" t="s">
        <v>29</v>
      </c>
    </row>
    <row r="459" spans="1:5" ht="13.2" x14ac:dyDescent="0.25">
      <c r="A459" s="1">
        <v>1458</v>
      </c>
      <c r="B459" s="1" t="s">
        <v>31</v>
      </c>
      <c r="C459" s="1" t="s">
        <v>33</v>
      </c>
      <c r="D459" s="1" t="s">
        <v>21</v>
      </c>
      <c r="E459" s="1" t="s">
        <v>29</v>
      </c>
    </row>
    <row r="460" spans="1:5" ht="13.2" x14ac:dyDescent="0.25">
      <c r="A460" s="1">
        <v>1459</v>
      </c>
      <c r="B460" s="1" t="s">
        <v>34</v>
      </c>
      <c r="C460" s="1" t="s">
        <v>27</v>
      </c>
      <c r="D460" s="1" t="s">
        <v>21</v>
      </c>
      <c r="E460" s="1" t="s">
        <v>18</v>
      </c>
    </row>
    <row r="461" spans="1:5" ht="13.2" x14ac:dyDescent="0.25">
      <c r="A461" s="1">
        <v>1460</v>
      </c>
      <c r="B461" s="1" t="s">
        <v>30</v>
      </c>
      <c r="C461" s="1" t="s">
        <v>33</v>
      </c>
      <c r="D461" s="1" t="s">
        <v>17</v>
      </c>
      <c r="E461" s="1" t="s">
        <v>29</v>
      </c>
    </row>
    <row r="462" spans="1:5" ht="13.2" x14ac:dyDescent="0.25">
      <c r="A462" s="1">
        <v>1461</v>
      </c>
      <c r="B462" s="1" t="s">
        <v>26</v>
      </c>
      <c r="C462" s="1" t="s">
        <v>28</v>
      </c>
      <c r="D462" s="1" t="s">
        <v>21</v>
      </c>
      <c r="E462" s="1" t="s">
        <v>24</v>
      </c>
    </row>
    <row r="463" spans="1:5" ht="13.2" x14ac:dyDescent="0.25">
      <c r="A463" s="1">
        <v>1462</v>
      </c>
      <c r="B463" s="1" t="s">
        <v>30</v>
      </c>
      <c r="C463" s="1" t="s">
        <v>28</v>
      </c>
      <c r="D463" s="1" t="s">
        <v>17</v>
      </c>
      <c r="E463" s="1" t="s">
        <v>24</v>
      </c>
    </row>
    <row r="464" spans="1:5" ht="13.2" x14ac:dyDescent="0.25">
      <c r="A464" s="1">
        <v>1463</v>
      </c>
      <c r="B464" s="1" t="s">
        <v>35</v>
      </c>
      <c r="C464" s="1" t="s">
        <v>28</v>
      </c>
      <c r="D464" s="1" t="s">
        <v>21</v>
      </c>
      <c r="E464" s="1" t="s">
        <v>29</v>
      </c>
    </row>
    <row r="465" spans="1:5" ht="13.2" x14ac:dyDescent="0.25">
      <c r="A465" s="1">
        <v>1464</v>
      </c>
      <c r="B465" s="1" t="s">
        <v>32</v>
      </c>
      <c r="C465" s="1" t="s">
        <v>28</v>
      </c>
      <c r="D465" s="1" t="s">
        <v>23</v>
      </c>
      <c r="E465" s="1" t="s">
        <v>18</v>
      </c>
    </row>
    <row r="466" spans="1:5" ht="13.2" x14ac:dyDescent="0.25">
      <c r="A466" s="1">
        <v>1465</v>
      </c>
      <c r="B466" s="1" t="s">
        <v>35</v>
      </c>
      <c r="C466" s="1" t="s">
        <v>27</v>
      </c>
      <c r="D466" s="1" t="s">
        <v>23</v>
      </c>
      <c r="E466" s="1" t="s">
        <v>24</v>
      </c>
    </row>
    <row r="467" spans="1:5" ht="13.2" x14ac:dyDescent="0.25">
      <c r="A467" s="1">
        <v>1466</v>
      </c>
      <c r="B467" s="1" t="s">
        <v>22</v>
      </c>
      <c r="C467" s="1" t="s">
        <v>28</v>
      </c>
      <c r="D467" s="1" t="s">
        <v>23</v>
      </c>
      <c r="E467" s="1" t="s">
        <v>24</v>
      </c>
    </row>
    <row r="468" spans="1:5" ht="13.2" x14ac:dyDescent="0.25">
      <c r="A468" s="1">
        <v>1467</v>
      </c>
      <c r="B468" s="1" t="s">
        <v>32</v>
      </c>
      <c r="C468" s="1" t="s">
        <v>27</v>
      </c>
      <c r="D468" s="1" t="s">
        <v>23</v>
      </c>
      <c r="E468" s="1" t="s">
        <v>24</v>
      </c>
    </row>
    <row r="469" spans="1:5" ht="13.2" x14ac:dyDescent="0.25">
      <c r="A469" s="1">
        <v>1468</v>
      </c>
      <c r="B469" s="1" t="s">
        <v>15</v>
      </c>
      <c r="C469" s="1" t="s">
        <v>28</v>
      </c>
      <c r="D469" s="1" t="s">
        <v>21</v>
      </c>
      <c r="E469" s="1" t="s">
        <v>18</v>
      </c>
    </row>
    <row r="470" spans="1:5" ht="13.2" x14ac:dyDescent="0.25">
      <c r="A470" s="1">
        <v>1469</v>
      </c>
      <c r="B470" s="1" t="s">
        <v>19</v>
      </c>
      <c r="C470" s="1" t="s">
        <v>20</v>
      </c>
      <c r="D470" s="1" t="s">
        <v>23</v>
      </c>
      <c r="E470" s="1" t="s">
        <v>24</v>
      </c>
    </row>
    <row r="471" spans="1:5" ht="13.2" x14ac:dyDescent="0.25">
      <c r="A471" s="1">
        <v>1470</v>
      </c>
      <c r="B471" s="1" t="s">
        <v>32</v>
      </c>
      <c r="C471" s="1" t="s">
        <v>20</v>
      </c>
      <c r="D471" s="1" t="s">
        <v>21</v>
      </c>
      <c r="E471" s="1" t="s">
        <v>29</v>
      </c>
    </row>
    <row r="472" spans="1:5" ht="13.2" x14ac:dyDescent="0.25">
      <c r="A472" s="1">
        <v>1471</v>
      </c>
      <c r="B472" s="1" t="s">
        <v>30</v>
      </c>
      <c r="C472" s="1" t="s">
        <v>28</v>
      </c>
      <c r="D472" s="1" t="s">
        <v>17</v>
      </c>
      <c r="E472" s="1" t="s">
        <v>24</v>
      </c>
    </row>
    <row r="473" spans="1:5" ht="13.2" x14ac:dyDescent="0.25">
      <c r="A473" s="1">
        <v>1472</v>
      </c>
      <c r="B473" s="1" t="s">
        <v>31</v>
      </c>
      <c r="C473" s="1" t="s">
        <v>28</v>
      </c>
      <c r="D473" s="1" t="s">
        <v>23</v>
      </c>
      <c r="E473" s="1" t="s">
        <v>29</v>
      </c>
    </row>
    <row r="474" spans="1:5" ht="13.2" x14ac:dyDescent="0.25">
      <c r="A474" s="1">
        <v>1473</v>
      </c>
      <c r="B474" s="1" t="s">
        <v>22</v>
      </c>
      <c r="C474" s="1" t="s">
        <v>20</v>
      </c>
      <c r="D474" s="1" t="s">
        <v>17</v>
      </c>
      <c r="E474" s="1" t="s">
        <v>29</v>
      </c>
    </row>
    <row r="475" spans="1:5" ht="13.2" x14ac:dyDescent="0.25">
      <c r="A475" s="1">
        <v>1474</v>
      </c>
      <c r="B475" s="1" t="s">
        <v>15</v>
      </c>
      <c r="C475" s="1" t="s">
        <v>33</v>
      </c>
      <c r="D475" s="1" t="s">
        <v>17</v>
      </c>
      <c r="E475" s="1" t="s">
        <v>24</v>
      </c>
    </row>
    <row r="476" spans="1:5" ht="13.2" x14ac:dyDescent="0.25">
      <c r="A476" s="1">
        <v>1475</v>
      </c>
      <c r="B476" s="1" t="s">
        <v>19</v>
      </c>
      <c r="C476" s="1" t="s">
        <v>16</v>
      </c>
      <c r="D476" s="1" t="s">
        <v>21</v>
      </c>
      <c r="E476" s="1" t="s">
        <v>29</v>
      </c>
    </row>
    <row r="477" spans="1:5" ht="13.2" x14ac:dyDescent="0.25">
      <c r="A477" s="1">
        <v>1476</v>
      </c>
      <c r="B477" s="1" t="s">
        <v>34</v>
      </c>
      <c r="C477" s="1" t="s">
        <v>16</v>
      </c>
      <c r="D477" s="1" t="s">
        <v>21</v>
      </c>
      <c r="E477" s="1" t="s">
        <v>29</v>
      </c>
    </row>
    <row r="478" spans="1:5" ht="13.2" x14ac:dyDescent="0.25">
      <c r="A478" s="1">
        <v>1477</v>
      </c>
      <c r="B478" s="1" t="s">
        <v>35</v>
      </c>
      <c r="C478" s="1" t="s">
        <v>28</v>
      </c>
      <c r="D478" s="1" t="s">
        <v>21</v>
      </c>
      <c r="E478" s="1" t="s">
        <v>18</v>
      </c>
    </row>
    <row r="479" spans="1:5" ht="13.2" x14ac:dyDescent="0.25">
      <c r="A479" s="1">
        <v>1478</v>
      </c>
      <c r="B479" s="1" t="s">
        <v>15</v>
      </c>
      <c r="C479" s="1" t="s">
        <v>27</v>
      </c>
      <c r="D479" s="1" t="s">
        <v>21</v>
      </c>
      <c r="E479" s="1" t="s">
        <v>18</v>
      </c>
    </row>
    <row r="480" spans="1:5" ht="13.2" x14ac:dyDescent="0.25">
      <c r="A480" s="1">
        <v>1479</v>
      </c>
      <c r="B480" s="1" t="s">
        <v>26</v>
      </c>
      <c r="C480" s="1" t="s">
        <v>20</v>
      </c>
      <c r="D480" s="1" t="s">
        <v>17</v>
      </c>
      <c r="E480" s="1" t="s">
        <v>18</v>
      </c>
    </row>
    <row r="481" spans="1:5" ht="13.2" x14ac:dyDescent="0.25">
      <c r="A481" s="1">
        <v>1480</v>
      </c>
      <c r="B481" s="1" t="s">
        <v>34</v>
      </c>
      <c r="C481" s="1" t="s">
        <v>33</v>
      </c>
      <c r="D481" s="1" t="s">
        <v>17</v>
      </c>
      <c r="E481" s="1" t="s">
        <v>18</v>
      </c>
    </row>
    <row r="482" spans="1:5" ht="13.2" x14ac:dyDescent="0.25">
      <c r="A482" s="1">
        <v>1481</v>
      </c>
      <c r="B482" s="1" t="s">
        <v>19</v>
      </c>
      <c r="C482" s="1" t="s">
        <v>27</v>
      </c>
      <c r="D482" s="1" t="s">
        <v>21</v>
      </c>
      <c r="E482" s="1" t="s">
        <v>18</v>
      </c>
    </row>
    <row r="483" spans="1:5" ht="13.2" x14ac:dyDescent="0.25">
      <c r="A483" s="1">
        <v>1482</v>
      </c>
      <c r="B483" s="1" t="s">
        <v>26</v>
      </c>
      <c r="C483" s="1" t="s">
        <v>20</v>
      </c>
      <c r="D483" s="1" t="s">
        <v>17</v>
      </c>
      <c r="E483" s="1" t="s">
        <v>18</v>
      </c>
    </row>
    <row r="484" spans="1:5" ht="13.2" x14ac:dyDescent="0.25">
      <c r="A484" s="1">
        <v>1483</v>
      </c>
      <c r="B484" s="1" t="s">
        <v>31</v>
      </c>
      <c r="C484" s="1" t="s">
        <v>16</v>
      </c>
      <c r="D484" s="1" t="s">
        <v>21</v>
      </c>
      <c r="E484" s="1" t="s">
        <v>18</v>
      </c>
    </row>
    <row r="485" spans="1:5" ht="13.2" x14ac:dyDescent="0.25">
      <c r="A485" s="1">
        <v>1484</v>
      </c>
      <c r="B485" s="1" t="s">
        <v>31</v>
      </c>
      <c r="C485" s="1" t="s">
        <v>27</v>
      </c>
      <c r="D485" s="1" t="s">
        <v>21</v>
      </c>
      <c r="E485" s="1" t="s">
        <v>18</v>
      </c>
    </row>
    <row r="486" spans="1:5" ht="13.2" x14ac:dyDescent="0.25">
      <c r="A486" s="1">
        <v>1485</v>
      </c>
      <c r="B486" s="1" t="s">
        <v>19</v>
      </c>
      <c r="C486" s="1" t="s">
        <v>28</v>
      </c>
      <c r="D486" s="1" t="s">
        <v>23</v>
      </c>
      <c r="E486" s="1" t="s">
        <v>29</v>
      </c>
    </row>
    <row r="487" spans="1:5" ht="13.2" x14ac:dyDescent="0.25">
      <c r="A487" s="1">
        <v>1486</v>
      </c>
      <c r="B487" s="1" t="s">
        <v>26</v>
      </c>
      <c r="C487" s="1" t="s">
        <v>33</v>
      </c>
      <c r="D487" s="1" t="s">
        <v>21</v>
      </c>
      <c r="E487" s="1" t="s">
        <v>18</v>
      </c>
    </row>
    <row r="488" spans="1:5" ht="13.2" x14ac:dyDescent="0.25">
      <c r="A488" s="1">
        <v>1487</v>
      </c>
      <c r="B488" s="1" t="s">
        <v>31</v>
      </c>
      <c r="C488" s="1" t="s">
        <v>28</v>
      </c>
      <c r="D488" s="1" t="s">
        <v>23</v>
      </c>
      <c r="E488" s="1" t="s">
        <v>29</v>
      </c>
    </row>
    <row r="489" spans="1:5" ht="13.2" x14ac:dyDescent="0.25">
      <c r="A489" s="1">
        <v>1488</v>
      </c>
      <c r="B489" s="1" t="s">
        <v>31</v>
      </c>
      <c r="C489" s="1" t="s">
        <v>33</v>
      </c>
      <c r="D489" s="1" t="s">
        <v>21</v>
      </c>
      <c r="E489" s="1" t="s">
        <v>18</v>
      </c>
    </row>
    <row r="490" spans="1:5" ht="13.2" x14ac:dyDescent="0.25">
      <c r="A490" s="1">
        <v>1489</v>
      </c>
      <c r="B490" s="1" t="s">
        <v>19</v>
      </c>
      <c r="C490" s="1" t="s">
        <v>27</v>
      </c>
      <c r="D490" s="1" t="s">
        <v>23</v>
      </c>
      <c r="E490" s="1" t="s">
        <v>18</v>
      </c>
    </row>
    <row r="491" spans="1:5" ht="13.2" x14ac:dyDescent="0.25">
      <c r="A491" s="1">
        <v>1490</v>
      </c>
      <c r="B491" s="1" t="s">
        <v>30</v>
      </c>
      <c r="C491" s="1" t="s">
        <v>33</v>
      </c>
      <c r="D491" s="1" t="s">
        <v>21</v>
      </c>
      <c r="E491" s="1" t="s">
        <v>24</v>
      </c>
    </row>
    <row r="492" spans="1:5" ht="13.2" x14ac:dyDescent="0.25">
      <c r="A492" s="1">
        <v>1491</v>
      </c>
      <c r="B492" s="1" t="s">
        <v>31</v>
      </c>
      <c r="C492" s="1" t="s">
        <v>33</v>
      </c>
      <c r="D492" s="1" t="s">
        <v>17</v>
      </c>
      <c r="E492" s="1" t="s">
        <v>18</v>
      </c>
    </row>
    <row r="493" spans="1:5" ht="13.2" x14ac:dyDescent="0.25">
      <c r="A493" s="1">
        <v>1492</v>
      </c>
      <c r="B493" s="1" t="s">
        <v>22</v>
      </c>
      <c r="C493" s="1" t="s">
        <v>16</v>
      </c>
      <c r="D493" s="1" t="s">
        <v>23</v>
      </c>
      <c r="E493" s="1" t="s">
        <v>18</v>
      </c>
    </row>
    <row r="494" spans="1:5" ht="13.2" x14ac:dyDescent="0.25">
      <c r="A494" s="1">
        <v>1493</v>
      </c>
      <c r="B494" s="1" t="s">
        <v>22</v>
      </c>
      <c r="C494" s="1" t="s">
        <v>16</v>
      </c>
      <c r="D494" s="1" t="s">
        <v>21</v>
      </c>
      <c r="E494" s="1" t="s">
        <v>18</v>
      </c>
    </row>
    <row r="495" spans="1:5" ht="13.2" x14ac:dyDescent="0.25">
      <c r="A495" s="1">
        <v>1494</v>
      </c>
      <c r="B495" s="1" t="s">
        <v>32</v>
      </c>
      <c r="C495" s="1" t="s">
        <v>27</v>
      </c>
      <c r="D495" s="1" t="s">
        <v>23</v>
      </c>
      <c r="E495" s="1" t="s">
        <v>18</v>
      </c>
    </row>
    <row r="496" spans="1:5" ht="13.2" x14ac:dyDescent="0.25">
      <c r="A496" s="1">
        <v>1495</v>
      </c>
      <c r="B496" s="1" t="s">
        <v>32</v>
      </c>
      <c r="C496" s="1" t="s">
        <v>20</v>
      </c>
      <c r="D496" s="1" t="s">
        <v>21</v>
      </c>
      <c r="E496" s="1" t="s">
        <v>29</v>
      </c>
    </row>
    <row r="497" spans="1:5" ht="13.2" x14ac:dyDescent="0.25">
      <c r="A497" s="1">
        <v>1496</v>
      </c>
      <c r="B497" s="1" t="s">
        <v>26</v>
      </c>
      <c r="C497" s="1" t="s">
        <v>20</v>
      </c>
      <c r="D497" s="1" t="s">
        <v>21</v>
      </c>
      <c r="E497" s="1" t="s">
        <v>29</v>
      </c>
    </row>
    <row r="498" spans="1:5" ht="13.2" x14ac:dyDescent="0.25">
      <c r="A498" s="1">
        <v>1497</v>
      </c>
      <c r="B498" s="1" t="s">
        <v>30</v>
      </c>
      <c r="C498" s="1" t="s">
        <v>20</v>
      </c>
      <c r="D498" s="1" t="s">
        <v>23</v>
      </c>
      <c r="E498" s="1" t="s">
        <v>29</v>
      </c>
    </row>
    <row r="499" spans="1:5" ht="13.2" x14ac:dyDescent="0.25">
      <c r="A499" s="1">
        <v>1498</v>
      </c>
      <c r="B499" s="1" t="s">
        <v>36</v>
      </c>
      <c r="C499" s="1" t="s">
        <v>16</v>
      </c>
      <c r="D499" s="1" t="s">
        <v>23</v>
      </c>
      <c r="E499" s="1" t="s">
        <v>24</v>
      </c>
    </row>
    <row r="500" spans="1:5" ht="13.2" x14ac:dyDescent="0.25">
      <c r="A500" s="1">
        <v>1499</v>
      </c>
      <c r="B500" s="1" t="s">
        <v>19</v>
      </c>
      <c r="C500" s="1" t="s">
        <v>33</v>
      </c>
      <c r="D500" s="1" t="s">
        <v>17</v>
      </c>
      <c r="E500" s="1" t="s">
        <v>24</v>
      </c>
    </row>
    <row r="501" spans="1:5" ht="13.2" x14ac:dyDescent="0.25">
      <c r="A501" s="1">
        <v>1500</v>
      </c>
      <c r="B501" s="1" t="s">
        <v>19</v>
      </c>
      <c r="C501" s="1" t="s">
        <v>33</v>
      </c>
      <c r="D501" s="1" t="s">
        <v>21</v>
      </c>
      <c r="E501" s="1" t="s">
        <v>24</v>
      </c>
    </row>
    <row r="502" spans="1:5" ht="13.2" x14ac:dyDescent="0.25"/>
    <row r="503" spans="1:5" ht="13.2" x14ac:dyDescent="0.25"/>
    <row r="504" spans="1:5" ht="13.2" x14ac:dyDescent="0.25"/>
    <row r="505" spans="1:5" ht="13.2" x14ac:dyDescent="0.25"/>
    <row r="506" spans="1:5" ht="13.2" x14ac:dyDescent="0.25"/>
    <row r="507" spans="1:5" ht="13.2" x14ac:dyDescent="0.25"/>
    <row r="508" spans="1:5" ht="13.2" x14ac:dyDescent="0.25"/>
    <row r="509" spans="1:5" ht="13.2" x14ac:dyDescent="0.25"/>
    <row r="510" spans="1:5" ht="13.2" x14ac:dyDescent="0.25"/>
    <row r="511" spans="1:5" ht="13.2" x14ac:dyDescent="0.25"/>
    <row r="512" spans="1:5"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FE23-302E-4005-B57D-50AA573CF5EE}">
  <dimension ref="A3:B9"/>
  <sheetViews>
    <sheetView workbookViewId="0">
      <selection activeCell="A5" sqref="A5"/>
    </sheetView>
  </sheetViews>
  <sheetFormatPr defaultRowHeight="13.2" x14ac:dyDescent="0.25"/>
  <cols>
    <col min="1" max="1" width="13.33203125" bestFit="1" customWidth="1"/>
    <col min="2" max="2" width="23.77734375" bestFit="1" customWidth="1"/>
  </cols>
  <sheetData>
    <row r="3" spans="1:2" x14ac:dyDescent="0.25">
      <c r="A3" s="14" t="s">
        <v>74</v>
      </c>
      <c r="B3" t="s">
        <v>76</v>
      </c>
    </row>
    <row r="4" spans="1:2" x14ac:dyDescent="0.25">
      <c r="A4" s="5" t="s">
        <v>9</v>
      </c>
      <c r="B4">
        <v>625442</v>
      </c>
    </row>
    <row r="5" spans="1:2" x14ac:dyDescent="0.25">
      <c r="A5" s="5" t="s">
        <v>25</v>
      </c>
      <c r="B5">
        <v>489861</v>
      </c>
    </row>
    <row r="6" spans="1:2" x14ac:dyDescent="0.25">
      <c r="A6" s="5" t="s">
        <v>12</v>
      </c>
      <c r="B6">
        <v>838135</v>
      </c>
    </row>
    <row r="7" spans="1:2" x14ac:dyDescent="0.25">
      <c r="A7" s="5" t="s">
        <v>14</v>
      </c>
      <c r="B7">
        <v>728345</v>
      </c>
    </row>
    <row r="8" spans="1:2" x14ac:dyDescent="0.25">
      <c r="A8" s="5" t="s">
        <v>7</v>
      </c>
      <c r="B8">
        <v>654053</v>
      </c>
    </row>
    <row r="9" spans="1:2" x14ac:dyDescent="0.25">
      <c r="A9" s="5" t="s">
        <v>75</v>
      </c>
      <c r="B9">
        <v>3335836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0A95-CCA3-45F5-9E6A-3F16FE265A7B}">
  <dimension ref="A3:B14"/>
  <sheetViews>
    <sheetView workbookViewId="0">
      <selection activeCell="K17" sqref="K17"/>
    </sheetView>
  </sheetViews>
  <sheetFormatPr defaultRowHeight="13.2" x14ac:dyDescent="0.25"/>
  <cols>
    <col min="1" max="1" width="13.33203125" bestFit="1" customWidth="1"/>
    <col min="2" max="2" width="23.77734375" bestFit="1" customWidth="1"/>
  </cols>
  <sheetData>
    <row r="3" spans="1:2" x14ac:dyDescent="0.25">
      <c r="A3" s="14" t="s">
        <v>74</v>
      </c>
      <c r="B3" t="s">
        <v>76</v>
      </c>
    </row>
    <row r="4" spans="1:2" x14ac:dyDescent="0.25">
      <c r="A4" s="5" t="s">
        <v>32</v>
      </c>
      <c r="B4">
        <v>291417</v>
      </c>
    </row>
    <row r="5" spans="1:2" x14ac:dyDescent="0.25">
      <c r="A5" s="5" t="s">
        <v>15</v>
      </c>
      <c r="B5">
        <v>271419</v>
      </c>
    </row>
    <row r="6" spans="1:2" x14ac:dyDescent="0.25">
      <c r="A6" s="5" t="s">
        <v>26</v>
      </c>
      <c r="B6">
        <v>390691</v>
      </c>
    </row>
    <row r="7" spans="1:2" x14ac:dyDescent="0.25">
      <c r="A7" s="5" t="s">
        <v>30</v>
      </c>
      <c r="B7">
        <v>343544</v>
      </c>
    </row>
    <row r="8" spans="1:2" x14ac:dyDescent="0.25">
      <c r="A8" s="5" t="s">
        <v>31</v>
      </c>
      <c r="B8">
        <v>469597</v>
      </c>
    </row>
    <row r="9" spans="1:2" x14ac:dyDescent="0.25">
      <c r="A9" s="5" t="s">
        <v>35</v>
      </c>
      <c r="B9">
        <v>398092</v>
      </c>
    </row>
    <row r="10" spans="1:2" x14ac:dyDescent="0.25">
      <c r="A10" s="5" t="s">
        <v>36</v>
      </c>
      <c r="B10">
        <v>266832</v>
      </c>
    </row>
    <row r="11" spans="1:2" x14ac:dyDescent="0.25">
      <c r="A11" s="5" t="s">
        <v>34</v>
      </c>
      <c r="B11">
        <v>183843</v>
      </c>
    </row>
    <row r="12" spans="1:2" x14ac:dyDescent="0.25">
      <c r="A12" s="5" t="s">
        <v>22</v>
      </c>
      <c r="B12">
        <v>334006</v>
      </c>
    </row>
    <row r="13" spans="1:2" x14ac:dyDescent="0.25">
      <c r="A13" s="5" t="s">
        <v>19</v>
      </c>
      <c r="B13">
        <v>386395</v>
      </c>
    </row>
    <row r="14" spans="1:2" x14ac:dyDescent="0.25">
      <c r="A14" s="5" t="s">
        <v>75</v>
      </c>
      <c r="B14">
        <v>3335836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F2DF-62EF-4035-855D-71C72A8AECB5}">
  <dimension ref="A3:E14"/>
  <sheetViews>
    <sheetView workbookViewId="0">
      <selection activeCell="J4" sqref="J4"/>
    </sheetView>
  </sheetViews>
  <sheetFormatPr defaultRowHeight="13.2" x14ac:dyDescent="0.25"/>
  <cols>
    <col min="1" max="1" width="13.33203125" bestFit="1" customWidth="1"/>
    <col min="2" max="2" width="21.88671875" bestFit="1" customWidth="1"/>
  </cols>
  <sheetData>
    <row r="3" spans="1:5" x14ac:dyDescent="0.25">
      <c r="A3" s="14" t="s">
        <v>74</v>
      </c>
      <c r="B3" t="s">
        <v>77</v>
      </c>
    </row>
    <row r="4" spans="1:5" x14ac:dyDescent="0.25">
      <c r="A4" s="5" t="s">
        <v>32</v>
      </c>
      <c r="B4">
        <v>52</v>
      </c>
      <c r="D4" s="5" t="s">
        <v>31</v>
      </c>
      <c r="E4">
        <v>59</v>
      </c>
    </row>
    <row r="5" spans="1:5" x14ac:dyDescent="0.25">
      <c r="A5" s="5" t="s">
        <v>15</v>
      </c>
      <c r="B5">
        <v>53</v>
      </c>
      <c r="D5" s="5" t="s">
        <v>26</v>
      </c>
      <c r="E5">
        <v>57</v>
      </c>
    </row>
    <row r="6" spans="1:5" x14ac:dyDescent="0.25">
      <c r="A6" s="5" t="s">
        <v>26</v>
      </c>
      <c r="B6">
        <v>57</v>
      </c>
      <c r="D6" s="5" t="s">
        <v>35</v>
      </c>
      <c r="E6">
        <v>54</v>
      </c>
    </row>
    <row r="7" spans="1:5" x14ac:dyDescent="0.25">
      <c r="A7" s="5" t="s">
        <v>30</v>
      </c>
      <c r="B7">
        <v>48</v>
      </c>
      <c r="D7" s="5" t="s">
        <v>22</v>
      </c>
      <c r="E7">
        <v>54</v>
      </c>
    </row>
    <row r="8" spans="1:5" x14ac:dyDescent="0.25">
      <c r="A8" s="5" t="s">
        <v>31</v>
      </c>
      <c r="B8">
        <v>59</v>
      </c>
      <c r="D8" s="5" t="s">
        <v>15</v>
      </c>
      <c r="E8">
        <v>53</v>
      </c>
    </row>
    <row r="9" spans="1:5" x14ac:dyDescent="0.25">
      <c r="A9" s="5" t="s">
        <v>35</v>
      </c>
      <c r="B9">
        <v>54</v>
      </c>
      <c r="D9" s="5" t="s">
        <v>32</v>
      </c>
      <c r="E9">
        <v>52</v>
      </c>
    </row>
    <row r="10" spans="1:5" x14ac:dyDescent="0.25">
      <c r="A10" s="5" t="s">
        <v>36</v>
      </c>
      <c r="B10">
        <v>38</v>
      </c>
      <c r="D10" s="5" t="s">
        <v>19</v>
      </c>
      <c r="E10">
        <v>51</v>
      </c>
    </row>
    <row r="11" spans="1:5" x14ac:dyDescent="0.25">
      <c r="A11" s="5" t="s">
        <v>34</v>
      </c>
      <c r="B11">
        <v>34</v>
      </c>
      <c r="D11" s="5" t="s">
        <v>30</v>
      </c>
      <c r="E11">
        <v>48</v>
      </c>
    </row>
    <row r="12" spans="1:5" x14ac:dyDescent="0.25">
      <c r="A12" s="5" t="s">
        <v>22</v>
      </c>
      <c r="B12">
        <v>54</v>
      </c>
      <c r="D12" s="5" t="s">
        <v>36</v>
      </c>
      <c r="E12">
        <v>38</v>
      </c>
    </row>
    <row r="13" spans="1:5" x14ac:dyDescent="0.25">
      <c r="A13" s="5" t="s">
        <v>19</v>
      </c>
      <c r="B13">
        <v>51</v>
      </c>
      <c r="D13" s="5" t="s">
        <v>34</v>
      </c>
      <c r="E13">
        <v>34</v>
      </c>
    </row>
    <row r="14" spans="1:5" x14ac:dyDescent="0.25">
      <c r="A14" s="5" t="s">
        <v>75</v>
      </c>
      <c r="B14">
        <v>500</v>
      </c>
    </row>
  </sheetData>
  <sortState xmlns:xlrd2="http://schemas.microsoft.com/office/spreadsheetml/2017/richdata2" ref="D4:E13">
    <sortCondition descending="1" ref="E4:E13"/>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BBC0-1224-4C62-973B-CCECB087262B}">
  <dimension ref="A1"/>
  <sheetViews>
    <sheetView workbookViewId="0"/>
  </sheetViews>
  <sheetFormatPr defaultRowHeight="13.2"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716E-0D71-4A41-9CAF-744725C87376}">
  <dimension ref="A1:L9"/>
  <sheetViews>
    <sheetView workbookViewId="0">
      <selection activeCell="D17" sqref="D17"/>
    </sheetView>
  </sheetViews>
  <sheetFormatPr defaultRowHeight="13.2" x14ac:dyDescent="0.25"/>
  <cols>
    <col min="1" max="1" width="21.88671875" bestFit="1" customWidth="1"/>
    <col min="2" max="2" width="16.21875" bestFit="1" customWidth="1"/>
    <col min="3" max="3" width="8.21875" bestFit="1" customWidth="1"/>
    <col min="4" max="4" width="7.109375" bestFit="1" customWidth="1"/>
    <col min="5" max="5" width="5" bestFit="1" customWidth="1"/>
    <col min="6" max="6" width="8.109375" bestFit="1" customWidth="1"/>
    <col min="7" max="7" width="4" bestFit="1" customWidth="1"/>
    <col min="8" max="8" width="6.88671875" bestFit="1" customWidth="1"/>
    <col min="9" max="9" width="5.21875" bestFit="1" customWidth="1"/>
    <col min="10" max="10" width="5.44140625" bestFit="1" customWidth="1"/>
    <col min="11" max="11" width="5.21875" bestFit="1" customWidth="1"/>
    <col min="12" max="12" width="11.33203125" bestFit="1" customWidth="1"/>
  </cols>
  <sheetData>
    <row r="1" spans="1:12" x14ac:dyDescent="0.25">
      <c r="A1" s="14" t="s">
        <v>77</v>
      </c>
      <c r="B1" s="14" t="s">
        <v>78</v>
      </c>
    </row>
    <row r="2" spans="1:12" x14ac:dyDescent="0.25">
      <c r="A2" s="14" t="s">
        <v>74</v>
      </c>
      <c r="B2" t="s">
        <v>32</v>
      </c>
      <c r="C2" t="s">
        <v>15</v>
      </c>
      <c r="D2" t="s">
        <v>26</v>
      </c>
      <c r="E2" t="s">
        <v>30</v>
      </c>
      <c r="F2" t="s">
        <v>31</v>
      </c>
      <c r="G2" t="s">
        <v>35</v>
      </c>
      <c r="H2" t="s">
        <v>36</v>
      </c>
      <c r="I2" t="s">
        <v>34</v>
      </c>
      <c r="J2" t="s">
        <v>22</v>
      </c>
      <c r="K2" t="s">
        <v>19</v>
      </c>
      <c r="L2" t="s">
        <v>75</v>
      </c>
    </row>
    <row r="3" spans="1:12" x14ac:dyDescent="0.25">
      <c r="A3" s="5" t="s">
        <v>38</v>
      </c>
      <c r="B3">
        <v>11</v>
      </c>
      <c r="C3">
        <v>3</v>
      </c>
      <c r="D3">
        <v>3</v>
      </c>
      <c r="E3">
        <v>4</v>
      </c>
      <c r="F3">
        <v>7</v>
      </c>
      <c r="G3">
        <v>7</v>
      </c>
      <c r="H3">
        <v>5</v>
      </c>
      <c r="I3">
        <v>5</v>
      </c>
      <c r="J3">
        <v>3</v>
      </c>
      <c r="L3">
        <v>48</v>
      </c>
    </row>
    <row r="4" spans="1:12" x14ac:dyDescent="0.25">
      <c r="A4" s="5" t="s">
        <v>42</v>
      </c>
      <c r="B4">
        <v>7</v>
      </c>
      <c r="C4">
        <v>5</v>
      </c>
      <c r="D4">
        <v>6</v>
      </c>
      <c r="E4">
        <v>2</v>
      </c>
      <c r="F4">
        <v>9</v>
      </c>
      <c r="G4">
        <v>9</v>
      </c>
      <c r="H4">
        <v>5</v>
      </c>
      <c r="I4">
        <v>6</v>
      </c>
      <c r="J4">
        <v>7</v>
      </c>
      <c r="K4">
        <v>3</v>
      </c>
      <c r="L4">
        <v>59</v>
      </c>
    </row>
    <row r="5" spans="1:12" x14ac:dyDescent="0.25">
      <c r="A5" s="5" t="s">
        <v>41</v>
      </c>
      <c r="B5">
        <v>12</v>
      </c>
      <c r="C5">
        <v>7</v>
      </c>
      <c r="D5">
        <v>7</v>
      </c>
      <c r="E5">
        <v>7</v>
      </c>
      <c r="F5">
        <v>4</v>
      </c>
      <c r="G5">
        <v>14</v>
      </c>
      <c r="H5">
        <v>6</v>
      </c>
      <c r="I5">
        <v>1</v>
      </c>
      <c r="J5">
        <v>9</v>
      </c>
      <c r="K5">
        <v>10</v>
      </c>
      <c r="L5">
        <v>77</v>
      </c>
    </row>
    <row r="6" spans="1:12" x14ac:dyDescent="0.25">
      <c r="A6" s="5" t="s">
        <v>40</v>
      </c>
      <c r="B6">
        <v>8</v>
      </c>
      <c r="C6">
        <v>3</v>
      </c>
      <c r="D6">
        <v>5</v>
      </c>
      <c r="E6">
        <v>4</v>
      </c>
      <c r="F6">
        <v>9</v>
      </c>
      <c r="G6">
        <v>5</v>
      </c>
      <c r="H6">
        <v>4</v>
      </c>
      <c r="I6">
        <v>8</v>
      </c>
      <c r="J6">
        <v>3</v>
      </c>
      <c r="K6">
        <v>8</v>
      </c>
      <c r="L6">
        <v>57</v>
      </c>
    </row>
    <row r="7" spans="1:12" x14ac:dyDescent="0.25">
      <c r="A7" s="5" t="s">
        <v>39</v>
      </c>
      <c r="B7">
        <v>1</v>
      </c>
      <c r="C7">
        <v>11</v>
      </c>
      <c r="D7">
        <v>7</v>
      </c>
      <c r="E7">
        <v>15</v>
      </c>
      <c r="F7">
        <v>6</v>
      </c>
      <c r="G7">
        <v>4</v>
      </c>
      <c r="H7">
        <v>8</v>
      </c>
      <c r="I7">
        <v>6</v>
      </c>
      <c r="J7">
        <v>9</v>
      </c>
      <c r="K7">
        <v>12</v>
      </c>
      <c r="L7">
        <v>79</v>
      </c>
    </row>
    <row r="8" spans="1:12" x14ac:dyDescent="0.25">
      <c r="A8" s="5" t="s">
        <v>79</v>
      </c>
      <c r="B8">
        <v>13</v>
      </c>
      <c r="C8">
        <v>24</v>
      </c>
      <c r="D8">
        <v>29</v>
      </c>
      <c r="E8">
        <v>16</v>
      </c>
      <c r="F8">
        <v>24</v>
      </c>
      <c r="G8">
        <v>15</v>
      </c>
      <c r="H8">
        <v>10</v>
      </c>
      <c r="I8">
        <v>8</v>
      </c>
      <c r="J8">
        <v>23</v>
      </c>
      <c r="K8">
        <v>18</v>
      </c>
      <c r="L8">
        <v>180</v>
      </c>
    </row>
    <row r="9" spans="1:12" x14ac:dyDescent="0.25">
      <c r="A9" s="5" t="s">
        <v>75</v>
      </c>
      <c r="B9">
        <v>52</v>
      </c>
      <c r="C9">
        <v>53</v>
      </c>
      <c r="D9">
        <v>57</v>
      </c>
      <c r="E9">
        <v>48</v>
      </c>
      <c r="F9">
        <v>59</v>
      </c>
      <c r="G9">
        <v>54</v>
      </c>
      <c r="H9">
        <v>38</v>
      </c>
      <c r="I9">
        <v>34</v>
      </c>
      <c r="J9">
        <v>54</v>
      </c>
      <c r="K9">
        <v>51</v>
      </c>
      <c r="L9">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69266-D68E-45C2-9AEE-6A9DAAD631D8}">
  <dimension ref="A3:H169"/>
  <sheetViews>
    <sheetView showGridLines="0" topLeftCell="A144" workbookViewId="0">
      <selection activeCell="H169" sqref="H169"/>
    </sheetView>
  </sheetViews>
  <sheetFormatPr defaultRowHeight="13.2" x14ac:dyDescent="0.25"/>
  <cols>
    <col min="1" max="1" width="13.33203125" bestFit="1" customWidth="1"/>
    <col min="2" max="2" width="17.33203125" bestFit="1" customWidth="1"/>
    <col min="7" max="7" width="13.33203125" bestFit="1" customWidth="1"/>
    <col min="8" max="8" width="14.21875" bestFit="1" customWidth="1"/>
  </cols>
  <sheetData>
    <row r="3" spans="1:8" x14ac:dyDescent="0.25">
      <c r="A3" s="14" t="s">
        <v>74</v>
      </c>
      <c r="B3" t="s">
        <v>80</v>
      </c>
      <c r="G3" s="14" t="s">
        <v>74</v>
      </c>
      <c r="H3" t="s">
        <v>83</v>
      </c>
    </row>
    <row r="4" spans="1:8" x14ac:dyDescent="0.25">
      <c r="A4" s="5" t="s">
        <v>9</v>
      </c>
      <c r="B4" s="15">
        <v>0.20064622901725904</v>
      </c>
      <c r="G4" s="5">
        <v>16</v>
      </c>
      <c r="H4">
        <v>6492</v>
      </c>
    </row>
    <row r="5" spans="1:8" x14ac:dyDescent="0.25">
      <c r="A5" s="5" t="s">
        <v>25</v>
      </c>
      <c r="B5" s="15">
        <v>0.1420127669635117</v>
      </c>
      <c r="G5" s="5">
        <v>18</v>
      </c>
      <c r="H5">
        <v>3404</v>
      </c>
    </row>
    <row r="6" spans="1:8" x14ac:dyDescent="0.25">
      <c r="A6" s="5" t="s">
        <v>12</v>
      </c>
      <c r="B6" s="15">
        <v>0.22570730554023169</v>
      </c>
      <c r="G6" s="5">
        <v>19</v>
      </c>
      <c r="H6">
        <v>3021</v>
      </c>
    </row>
    <row r="7" spans="1:8" x14ac:dyDescent="0.25">
      <c r="A7" s="5" t="s">
        <v>14</v>
      </c>
      <c r="B7" s="15">
        <v>0.23421861454803372</v>
      </c>
      <c r="G7" s="5">
        <v>20</v>
      </c>
      <c r="H7">
        <v>3468</v>
      </c>
    </row>
    <row r="8" spans="1:8" x14ac:dyDescent="0.25">
      <c r="A8" s="5" t="s">
        <v>7</v>
      </c>
      <c r="B8" s="15">
        <v>0.19741508393096383</v>
      </c>
      <c r="G8" s="5">
        <v>23</v>
      </c>
      <c r="H8">
        <v>9907</v>
      </c>
    </row>
    <row r="9" spans="1:8" x14ac:dyDescent="0.25">
      <c r="A9" s="5" t="s">
        <v>75</v>
      </c>
      <c r="B9" s="15">
        <v>1</v>
      </c>
      <c r="G9" s="5">
        <v>26</v>
      </c>
      <c r="H9">
        <v>6648</v>
      </c>
    </row>
    <row r="10" spans="1:8" x14ac:dyDescent="0.25">
      <c r="G10" s="5">
        <v>28</v>
      </c>
      <c r="H10">
        <v>3322</v>
      </c>
    </row>
    <row r="11" spans="1:8" x14ac:dyDescent="0.25">
      <c r="G11" s="5">
        <v>29</v>
      </c>
      <c r="H11">
        <v>3183</v>
      </c>
    </row>
    <row r="12" spans="1:8" x14ac:dyDescent="0.25">
      <c r="G12" s="5">
        <v>34</v>
      </c>
      <c r="H12">
        <v>6764</v>
      </c>
    </row>
    <row r="13" spans="1:8" x14ac:dyDescent="0.25">
      <c r="G13" s="5">
        <v>36</v>
      </c>
      <c r="H13">
        <v>6390</v>
      </c>
    </row>
    <row r="14" spans="1:8" x14ac:dyDescent="0.25">
      <c r="G14" s="5">
        <v>38</v>
      </c>
      <c r="H14">
        <v>6950</v>
      </c>
    </row>
    <row r="15" spans="1:8" x14ac:dyDescent="0.25">
      <c r="G15" s="5">
        <v>42</v>
      </c>
      <c r="H15">
        <v>16268</v>
      </c>
    </row>
    <row r="16" spans="1:8" x14ac:dyDescent="0.25">
      <c r="G16" s="5">
        <v>45</v>
      </c>
      <c r="H16">
        <v>6535</v>
      </c>
    </row>
    <row r="17" spans="7:8" x14ac:dyDescent="0.25">
      <c r="G17" s="5">
        <v>48</v>
      </c>
      <c r="H17">
        <v>9831</v>
      </c>
    </row>
    <row r="18" spans="7:8" x14ac:dyDescent="0.25">
      <c r="G18" s="5">
        <v>50</v>
      </c>
      <c r="H18">
        <v>6275</v>
      </c>
    </row>
    <row r="19" spans="7:8" x14ac:dyDescent="0.25">
      <c r="G19" s="5">
        <v>59</v>
      </c>
      <c r="H19">
        <v>9752</v>
      </c>
    </row>
    <row r="20" spans="7:8" x14ac:dyDescent="0.25">
      <c r="G20" s="5">
        <v>62</v>
      </c>
      <c r="H20">
        <v>9761</v>
      </c>
    </row>
    <row r="21" spans="7:8" x14ac:dyDescent="0.25">
      <c r="G21" s="5">
        <v>65</v>
      </c>
      <c r="H21">
        <v>6472</v>
      </c>
    </row>
    <row r="22" spans="7:8" x14ac:dyDescent="0.25">
      <c r="G22" s="5">
        <v>66</v>
      </c>
      <c r="H22">
        <v>9801</v>
      </c>
    </row>
    <row r="23" spans="7:8" x14ac:dyDescent="0.25">
      <c r="G23" s="5">
        <v>67</v>
      </c>
      <c r="H23">
        <v>3163</v>
      </c>
    </row>
    <row r="24" spans="7:8" x14ac:dyDescent="0.25">
      <c r="G24" s="5">
        <v>71</v>
      </c>
      <c r="H24">
        <v>3318</v>
      </c>
    </row>
    <row r="25" spans="7:8" x14ac:dyDescent="0.25">
      <c r="G25" s="5">
        <v>74</v>
      </c>
      <c r="H25">
        <v>6786</v>
      </c>
    </row>
    <row r="26" spans="7:8" x14ac:dyDescent="0.25">
      <c r="G26" s="5">
        <v>75</v>
      </c>
      <c r="H26">
        <v>9899</v>
      </c>
    </row>
    <row r="27" spans="7:8" x14ac:dyDescent="0.25">
      <c r="G27" s="5">
        <v>76</v>
      </c>
      <c r="H27">
        <v>3497</v>
      </c>
    </row>
    <row r="28" spans="7:8" x14ac:dyDescent="0.25">
      <c r="G28" s="5">
        <v>77</v>
      </c>
      <c r="H28">
        <v>6820</v>
      </c>
    </row>
    <row r="29" spans="7:8" x14ac:dyDescent="0.25">
      <c r="G29" s="5">
        <v>80</v>
      </c>
      <c r="H29">
        <v>13346</v>
      </c>
    </row>
    <row r="30" spans="7:8" x14ac:dyDescent="0.25">
      <c r="G30" s="5">
        <v>88</v>
      </c>
      <c r="H30">
        <v>9645</v>
      </c>
    </row>
    <row r="31" spans="7:8" x14ac:dyDescent="0.25">
      <c r="G31" s="5">
        <v>92</v>
      </c>
      <c r="H31">
        <v>6128</v>
      </c>
    </row>
    <row r="32" spans="7:8" x14ac:dyDescent="0.25">
      <c r="G32" s="5">
        <v>93</v>
      </c>
      <c r="H32">
        <v>16015</v>
      </c>
    </row>
    <row r="33" spans="7:8" x14ac:dyDescent="0.25">
      <c r="G33" s="5">
        <v>98</v>
      </c>
      <c r="H33">
        <v>3199</v>
      </c>
    </row>
    <row r="34" spans="7:8" x14ac:dyDescent="0.25">
      <c r="G34" s="5">
        <v>104</v>
      </c>
      <c r="H34">
        <v>6891</v>
      </c>
    </row>
    <row r="35" spans="7:8" x14ac:dyDescent="0.25">
      <c r="G35" s="5">
        <v>107</v>
      </c>
      <c r="H35">
        <v>6556</v>
      </c>
    </row>
    <row r="36" spans="7:8" x14ac:dyDescent="0.25">
      <c r="G36" s="5">
        <v>108</v>
      </c>
      <c r="H36">
        <v>6550</v>
      </c>
    </row>
    <row r="37" spans="7:8" x14ac:dyDescent="0.25">
      <c r="G37" s="5">
        <v>109</v>
      </c>
      <c r="H37">
        <v>3048</v>
      </c>
    </row>
    <row r="38" spans="7:8" x14ac:dyDescent="0.25">
      <c r="G38" s="5">
        <v>116</v>
      </c>
      <c r="H38">
        <v>6280</v>
      </c>
    </row>
    <row r="39" spans="7:8" x14ac:dyDescent="0.25">
      <c r="G39" s="5">
        <v>118</v>
      </c>
      <c r="H39">
        <v>6794</v>
      </c>
    </row>
    <row r="40" spans="7:8" x14ac:dyDescent="0.25">
      <c r="G40" s="5">
        <v>126</v>
      </c>
      <c r="H40">
        <v>12937</v>
      </c>
    </row>
    <row r="41" spans="7:8" x14ac:dyDescent="0.25">
      <c r="G41" s="5">
        <v>128</v>
      </c>
      <c r="H41">
        <v>3006</v>
      </c>
    </row>
    <row r="42" spans="7:8" x14ac:dyDescent="0.25">
      <c r="G42" s="5">
        <v>131</v>
      </c>
      <c r="H42">
        <v>25942</v>
      </c>
    </row>
    <row r="43" spans="7:8" x14ac:dyDescent="0.25">
      <c r="G43" s="5">
        <v>133</v>
      </c>
      <c r="H43">
        <v>6472</v>
      </c>
    </row>
    <row r="44" spans="7:8" x14ac:dyDescent="0.25">
      <c r="G44" s="5">
        <v>136</v>
      </c>
      <c r="H44">
        <v>3283</v>
      </c>
    </row>
    <row r="45" spans="7:8" x14ac:dyDescent="0.25">
      <c r="G45" s="5">
        <v>141</v>
      </c>
      <c r="H45">
        <v>6310</v>
      </c>
    </row>
    <row r="46" spans="7:8" x14ac:dyDescent="0.25">
      <c r="G46" s="5">
        <v>144</v>
      </c>
      <c r="H46">
        <v>6754</v>
      </c>
    </row>
    <row r="47" spans="7:8" x14ac:dyDescent="0.25">
      <c r="G47" s="5">
        <v>147</v>
      </c>
      <c r="H47">
        <v>3330</v>
      </c>
    </row>
    <row r="48" spans="7:8" x14ac:dyDescent="0.25">
      <c r="G48" s="5">
        <v>150</v>
      </c>
      <c r="H48">
        <v>6516</v>
      </c>
    </row>
    <row r="49" spans="7:8" x14ac:dyDescent="0.25">
      <c r="G49" s="5">
        <v>151</v>
      </c>
      <c r="H49">
        <v>3452</v>
      </c>
    </row>
    <row r="50" spans="7:8" x14ac:dyDescent="0.25">
      <c r="G50" s="5">
        <v>155</v>
      </c>
      <c r="H50">
        <v>9585</v>
      </c>
    </row>
    <row r="51" spans="7:8" x14ac:dyDescent="0.25">
      <c r="G51" s="5">
        <v>157</v>
      </c>
      <c r="H51">
        <v>10103</v>
      </c>
    </row>
    <row r="52" spans="7:8" x14ac:dyDescent="0.25">
      <c r="G52" s="5">
        <v>164</v>
      </c>
      <c r="H52">
        <v>3407</v>
      </c>
    </row>
    <row r="53" spans="7:8" x14ac:dyDescent="0.25">
      <c r="G53" s="5">
        <v>165</v>
      </c>
      <c r="H53">
        <v>12725</v>
      </c>
    </row>
    <row r="54" spans="7:8" x14ac:dyDescent="0.25">
      <c r="G54" s="5">
        <v>167</v>
      </c>
      <c r="H54">
        <v>6446</v>
      </c>
    </row>
    <row r="55" spans="7:8" x14ac:dyDescent="0.25">
      <c r="G55" s="5">
        <v>175</v>
      </c>
      <c r="H55">
        <v>6502</v>
      </c>
    </row>
    <row r="56" spans="7:8" x14ac:dyDescent="0.25">
      <c r="G56" s="5">
        <v>179</v>
      </c>
      <c r="H56">
        <v>3019</v>
      </c>
    </row>
    <row r="57" spans="7:8" x14ac:dyDescent="0.25">
      <c r="G57" s="5">
        <v>180</v>
      </c>
      <c r="H57">
        <v>3342</v>
      </c>
    </row>
    <row r="58" spans="7:8" x14ac:dyDescent="0.25">
      <c r="G58" s="5">
        <v>183</v>
      </c>
      <c r="H58">
        <v>3115</v>
      </c>
    </row>
    <row r="59" spans="7:8" x14ac:dyDescent="0.25">
      <c r="G59" s="5">
        <v>185</v>
      </c>
      <c r="H59">
        <v>9831</v>
      </c>
    </row>
    <row r="60" spans="7:8" x14ac:dyDescent="0.25">
      <c r="G60" s="5">
        <v>187</v>
      </c>
      <c r="H60">
        <v>6277</v>
      </c>
    </row>
    <row r="61" spans="7:8" x14ac:dyDescent="0.25">
      <c r="G61" s="5">
        <v>188</v>
      </c>
      <c r="H61">
        <v>3093</v>
      </c>
    </row>
    <row r="62" spans="7:8" x14ac:dyDescent="0.25">
      <c r="G62" s="5">
        <v>192</v>
      </c>
      <c r="H62">
        <v>12591</v>
      </c>
    </row>
    <row r="63" spans="7:8" x14ac:dyDescent="0.25">
      <c r="G63" s="5">
        <v>194</v>
      </c>
      <c r="H63">
        <v>6640</v>
      </c>
    </row>
    <row r="64" spans="7:8" x14ac:dyDescent="0.25">
      <c r="G64" s="5">
        <v>195</v>
      </c>
      <c r="H64">
        <v>6243</v>
      </c>
    </row>
    <row r="65" spans="7:8" x14ac:dyDescent="0.25">
      <c r="G65" s="5">
        <v>198</v>
      </c>
      <c r="H65">
        <v>10011</v>
      </c>
    </row>
    <row r="66" spans="7:8" x14ac:dyDescent="0.25">
      <c r="G66" s="5">
        <v>201</v>
      </c>
      <c r="H66">
        <v>6692</v>
      </c>
    </row>
    <row r="67" spans="7:8" x14ac:dyDescent="0.25">
      <c r="G67" s="5">
        <v>202</v>
      </c>
      <c r="H67">
        <v>6432</v>
      </c>
    </row>
    <row r="68" spans="7:8" x14ac:dyDescent="0.25">
      <c r="G68" s="5">
        <v>208</v>
      </c>
      <c r="H68">
        <v>3065</v>
      </c>
    </row>
    <row r="69" spans="7:8" x14ac:dyDescent="0.25">
      <c r="G69" s="5">
        <v>210</v>
      </c>
      <c r="H69">
        <v>3160</v>
      </c>
    </row>
    <row r="70" spans="7:8" x14ac:dyDescent="0.25">
      <c r="G70" s="5">
        <v>211</v>
      </c>
      <c r="H70">
        <v>6336</v>
      </c>
    </row>
    <row r="71" spans="7:8" x14ac:dyDescent="0.25">
      <c r="G71" s="5">
        <v>215</v>
      </c>
      <c r="H71">
        <v>3047</v>
      </c>
    </row>
    <row r="72" spans="7:8" x14ac:dyDescent="0.25">
      <c r="G72" s="5">
        <v>217</v>
      </c>
      <c r="H72">
        <v>6542</v>
      </c>
    </row>
    <row r="73" spans="7:8" x14ac:dyDescent="0.25">
      <c r="G73" s="5">
        <v>218</v>
      </c>
      <c r="H73">
        <v>6531</v>
      </c>
    </row>
    <row r="74" spans="7:8" x14ac:dyDescent="0.25">
      <c r="G74" s="5">
        <v>222</v>
      </c>
      <c r="H74">
        <v>3380</v>
      </c>
    </row>
    <row r="75" spans="7:8" x14ac:dyDescent="0.25">
      <c r="G75" s="5">
        <v>223</v>
      </c>
      <c r="H75">
        <v>6413</v>
      </c>
    </row>
    <row r="76" spans="7:8" x14ac:dyDescent="0.25">
      <c r="G76" s="5">
        <v>225</v>
      </c>
      <c r="H76">
        <v>3109</v>
      </c>
    </row>
    <row r="77" spans="7:8" x14ac:dyDescent="0.25">
      <c r="G77" s="5">
        <v>227</v>
      </c>
      <c r="H77">
        <v>6743</v>
      </c>
    </row>
    <row r="78" spans="7:8" x14ac:dyDescent="0.25">
      <c r="G78" s="5">
        <v>231</v>
      </c>
      <c r="H78">
        <v>9428</v>
      </c>
    </row>
    <row r="79" spans="7:8" x14ac:dyDescent="0.25">
      <c r="G79" s="5">
        <v>234</v>
      </c>
      <c r="H79">
        <v>9731</v>
      </c>
    </row>
    <row r="80" spans="7:8" x14ac:dyDescent="0.25">
      <c r="G80" s="5">
        <v>235</v>
      </c>
      <c r="H80">
        <v>9351</v>
      </c>
    </row>
    <row r="81" spans="7:8" x14ac:dyDescent="0.25">
      <c r="G81" s="5">
        <v>239</v>
      </c>
      <c r="H81">
        <v>6431</v>
      </c>
    </row>
    <row r="82" spans="7:8" x14ac:dyDescent="0.25">
      <c r="G82" s="5">
        <v>244</v>
      </c>
      <c r="H82">
        <v>3272</v>
      </c>
    </row>
    <row r="83" spans="7:8" x14ac:dyDescent="0.25">
      <c r="G83" s="5">
        <v>245</v>
      </c>
      <c r="H83">
        <v>3453</v>
      </c>
    </row>
    <row r="84" spans="7:8" x14ac:dyDescent="0.25">
      <c r="G84" s="5">
        <v>247</v>
      </c>
      <c r="H84">
        <v>3394</v>
      </c>
    </row>
    <row r="85" spans="7:8" x14ac:dyDescent="0.25">
      <c r="G85" s="5">
        <v>249</v>
      </c>
      <c r="H85">
        <v>3413</v>
      </c>
    </row>
    <row r="86" spans="7:8" x14ac:dyDescent="0.25">
      <c r="G86" s="5">
        <v>250</v>
      </c>
      <c r="H86">
        <v>6380</v>
      </c>
    </row>
    <row r="87" spans="7:8" x14ac:dyDescent="0.25">
      <c r="G87" s="5">
        <v>251</v>
      </c>
      <c r="H87">
        <v>3402</v>
      </c>
    </row>
    <row r="88" spans="7:8" x14ac:dyDescent="0.25">
      <c r="G88" s="5">
        <v>256</v>
      </c>
      <c r="H88">
        <v>9415</v>
      </c>
    </row>
    <row r="89" spans="7:8" x14ac:dyDescent="0.25">
      <c r="G89" s="5">
        <v>259</v>
      </c>
      <c r="H89">
        <v>6758</v>
      </c>
    </row>
    <row r="90" spans="7:8" x14ac:dyDescent="0.25">
      <c r="G90" s="5">
        <v>261</v>
      </c>
      <c r="H90">
        <v>16314</v>
      </c>
    </row>
    <row r="91" spans="7:8" x14ac:dyDescent="0.25">
      <c r="G91" s="5">
        <v>262</v>
      </c>
      <c r="H91">
        <v>6313</v>
      </c>
    </row>
    <row r="92" spans="7:8" x14ac:dyDescent="0.25">
      <c r="G92" s="5">
        <v>266</v>
      </c>
      <c r="H92">
        <v>3027</v>
      </c>
    </row>
    <row r="93" spans="7:8" x14ac:dyDescent="0.25">
      <c r="G93" s="5">
        <v>273</v>
      </c>
      <c r="H93">
        <v>3249</v>
      </c>
    </row>
    <row r="94" spans="7:8" x14ac:dyDescent="0.25">
      <c r="G94" s="5">
        <v>279</v>
      </c>
      <c r="H94">
        <v>6125</v>
      </c>
    </row>
    <row r="95" spans="7:8" x14ac:dyDescent="0.25">
      <c r="G95" s="5">
        <v>280</v>
      </c>
      <c r="H95">
        <v>6484</v>
      </c>
    </row>
    <row r="96" spans="7:8" x14ac:dyDescent="0.25">
      <c r="G96" s="5">
        <v>284</v>
      </c>
      <c r="H96">
        <v>3211</v>
      </c>
    </row>
    <row r="97" spans="7:8" x14ac:dyDescent="0.25">
      <c r="G97" s="5">
        <v>290</v>
      </c>
      <c r="H97">
        <v>13036</v>
      </c>
    </row>
    <row r="98" spans="7:8" x14ac:dyDescent="0.25">
      <c r="G98" s="5">
        <v>294</v>
      </c>
      <c r="H98">
        <v>3029</v>
      </c>
    </row>
    <row r="99" spans="7:8" x14ac:dyDescent="0.25">
      <c r="G99" s="5">
        <v>295</v>
      </c>
      <c r="H99">
        <v>3310</v>
      </c>
    </row>
    <row r="100" spans="7:8" x14ac:dyDescent="0.25">
      <c r="G100" s="5">
        <v>296</v>
      </c>
      <c r="H100">
        <v>6606</v>
      </c>
    </row>
    <row r="101" spans="7:8" x14ac:dyDescent="0.25">
      <c r="G101" s="5">
        <v>299</v>
      </c>
      <c r="H101">
        <v>6477</v>
      </c>
    </row>
    <row r="102" spans="7:8" x14ac:dyDescent="0.25">
      <c r="G102" s="5">
        <v>305</v>
      </c>
      <c r="H102">
        <v>3335</v>
      </c>
    </row>
    <row r="103" spans="7:8" x14ac:dyDescent="0.25">
      <c r="G103" s="5">
        <v>312</v>
      </c>
      <c r="H103">
        <v>3397</v>
      </c>
    </row>
    <row r="104" spans="7:8" x14ac:dyDescent="0.25">
      <c r="G104" s="5">
        <v>314</v>
      </c>
      <c r="H104">
        <v>6840</v>
      </c>
    </row>
    <row r="105" spans="7:8" x14ac:dyDescent="0.25">
      <c r="G105" s="5">
        <v>315</v>
      </c>
      <c r="H105">
        <v>3013</v>
      </c>
    </row>
    <row r="106" spans="7:8" x14ac:dyDescent="0.25">
      <c r="G106" s="5">
        <v>324</v>
      </c>
      <c r="H106">
        <v>6472</v>
      </c>
    </row>
    <row r="107" spans="7:8" x14ac:dyDescent="0.25">
      <c r="G107" s="5">
        <v>328</v>
      </c>
      <c r="H107">
        <v>3392</v>
      </c>
    </row>
    <row r="108" spans="7:8" x14ac:dyDescent="0.25">
      <c r="G108" s="5">
        <v>330</v>
      </c>
      <c r="H108">
        <v>6191</v>
      </c>
    </row>
    <row r="109" spans="7:8" x14ac:dyDescent="0.25">
      <c r="G109" s="5">
        <v>332</v>
      </c>
      <c r="H109">
        <v>13507</v>
      </c>
    </row>
    <row r="110" spans="7:8" x14ac:dyDescent="0.25">
      <c r="G110" s="5">
        <v>335</v>
      </c>
      <c r="H110">
        <v>3305</v>
      </c>
    </row>
    <row r="111" spans="7:8" x14ac:dyDescent="0.25">
      <c r="G111" s="5">
        <v>338</v>
      </c>
      <c r="H111">
        <v>3190</v>
      </c>
    </row>
    <row r="112" spans="7:8" x14ac:dyDescent="0.25">
      <c r="G112" s="5">
        <v>339</v>
      </c>
      <c r="H112">
        <v>6596</v>
      </c>
    </row>
    <row r="113" spans="7:8" x14ac:dyDescent="0.25">
      <c r="G113" s="5">
        <v>341</v>
      </c>
      <c r="H113">
        <v>6537</v>
      </c>
    </row>
    <row r="114" spans="7:8" x14ac:dyDescent="0.25">
      <c r="G114" s="5">
        <v>342</v>
      </c>
      <c r="H114">
        <v>6512</v>
      </c>
    </row>
    <row r="115" spans="7:8" x14ac:dyDescent="0.25">
      <c r="G115" s="5">
        <v>344</v>
      </c>
      <c r="H115">
        <v>3254</v>
      </c>
    </row>
    <row r="116" spans="7:8" x14ac:dyDescent="0.25">
      <c r="G116" s="5">
        <v>347</v>
      </c>
      <c r="H116">
        <v>3057</v>
      </c>
    </row>
    <row r="117" spans="7:8" x14ac:dyDescent="0.25">
      <c r="G117" s="5">
        <v>350</v>
      </c>
      <c r="H117">
        <v>3018</v>
      </c>
    </row>
    <row r="118" spans="7:8" x14ac:dyDescent="0.25">
      <c r="G118" s="5">
        <v>356</v>
      </c>
      <c r="H118">
        <v>3157</v>
      </c>
    </row>
    <row r="119" spans="7:8" x14ac:dyDescent="0.25">
      <c r="G119" s="5">
        <v>360</v>
      </c>
      <c r="H119">
        <v>6332</v>
      </c>
    </row>
    <row r="120" spans="7:8" x14ac:dyDescent="0.25">
      <c r="G120" s="5">
        <v>362</v>
      </c>
      <c r="H120">
        <v>3281</v>
      </c>
    </row>
    <row r="121" spans="7:8" x14ac:dyDescent="0.25">
      <c r="G121" s="5">
        <v>369</v>
      </c>
      <c r="H121">
        <v>13112</v>
      </c>
    </row>
    <row r="122" spans="7:8" x14ac:dyDescent="0.25">
      <c r="G122" s="5">
        <v>370</v>
      </c>
      <c r="H122">
        <v>6671</v>
      </c>
    </row>
    <row r="123" spans="7:8" x14ac:dyDescent="0.25">
      <c r="G123" s="5">
        <v>373</v>
      </c>
      <c r="H123">
        <v>6389</v>
      </c>
    </row>
    <row r="124" spans="7:8" x14ac:dyDescent="0.25">
      <c r="G124" s="5">
        <v>374</v>
      </c>
      <c r="H124">
        <v>9897</v>
      </c>
    </row>
    <row r="125" spans="7:8" x14ac:dyDescent="0.25">
      <c r="G125" s="5">
        <v>376</v>
      </c>
      <c r="H125">
        <v>6280</v>
      </c>
    </row>
    <row r="126" spans="7:8" x14ac:dyDescent="0.25">
      <c r="G126" s="5">
        <v>380</v>
      </c>
      <c r="H126">
        <v>3480</v>
      </c>
    </row>
    <row r="127" spans="7:8" x14ac:dyDescent="0.25">
      <c r="G127" s="5">
        <v>382</v>
      </c>
      <c r="H127">
        <v>6432</v>
      </c>
    </row>
    <row r="128" spans="7:8" x14ac:dyDescent="0.25">
      <c r="G128" s="5">
        <v>386</v>
      </c>
      <c r="H128">
        <v>3366</v>
      </c>
    </row>
    <row r="129" spans="7:8" x14ac:dyDescent="0.25">
      <c r="G129" s="5">
        <v>388</v>
      </c>
      <c r="H129">
        <v>3418</v>
      </c>
    </row>
    <row r="130" spans="7:8" x14ac:dyDescent="0.25">
      <c r="G130" s="5">
        <v>389</v>
      </c>
      <c r="H130">
        <v>3487</v>
      </c>
    </row>
    <row r="131" spans="7:8" x14ac:dyDescent="0.25">
      <c r="G131" s="5">
        <v>398</v>
      </c>
      <c r="H131">
        <v>6939</v>
      </c>
    </row>
    <row r="132" spans="7:8" x14ac:dyDescent="0.25">
      <c r="G132" s="5">
        <v>399</v>
      </c>
      <c r="H132">
        <v>6161</v>
      </c>
    </row>
    <row r="133" spans="7:8" x14ac:dyDescent="0.25">
      <c r="G133" s="5">
        <v>406</v>
      </c>
      <c r="H133">
        <v>3130</v>
      </c>
    </row>
    <row r="134" spans="7:8" x14ac:dyDescent="0.25">
      <c r="G134" s="5">
        <v>409</v>
      </c>
      <c r="H134">
        <v>3135</v>
      </c>
    </row>
    <row r="135" spans="7:8" x14ac:dyDescent="0.25">
      <c r="G135" s="5">
        <v>411</v>
      </c>
      <c r="H135">
        <v>6343</v>
      </c>
    </row>
    <row r="136" spans="7:8" x14ac:dyDescent="0.25">
      <c r="G136" s="5">
        <v>412</v>
      </c>
      <c r="H136">
        <v>9821</v>
      </c>
    </row>
    <row r="137" spans="7:8" x14ac:dyDescent="0.25">
      <c r="G137" s="5">
        <v>423</v>
      </c>
      <c r="H137">
        <v>6479</v>
      </c>
    </row>
    <row r="138" spans="7:8" x14ac:dyDescent="0.25">
      <c r="G138" s="5">
        <v>426</v>
      </c>
      <c r="H138">
        <v>6613</v>
      </c>
    </row>
    <row r="139" spans="7:8" x14ac:dyDescent="0.25">
      <c r="G139" s="5">
        <v>427</v>
      </c>
      <c r="H139">
        <v>6352</v>
      </c>
    </row>
    <row r="140" spans="7:8" x14ac:dyDescent="0.25">
      <c r="G140" s="5">
        <v>428</v>
      </c>
      <c r="H140">
        <v>3043</v>
      </c>
    </row>
    <row r="141" spans="7:8" x14ac:dyDescent="0.25">
      <c r="G141" s="5">
        <v>434</v>
      </c>
      <c r="H141">
        <v>13004</v>
      </c>
    </row>
    <row r="142" spans="7:8" x14ac:dyDescent="0.25">
      <c r="G142" s="5">
        <v>435</v>
      </c>
      <c r="H142">
        <v>9714</v>
      </c>
    </row>
    <row r="143" spans="7:8" x14ac:dyDescent="0.25">
      <c r="G143" s="5">
        <v>442</v>
      </c>
      <c r="H143">
        <v>3219</v>
      </c>
    </row>
    <row r="144" spans="7:8" x14ac:dyDescent="0.25">
      <c r="G144" s="5">
        <v>443</v>
      </c>
      <c r="H144">
        <v>16209</v>
      </c>
    </row>
    <row r="145" spans="7:8" x14ac:dyDescent="0.25">
      <c r="G145" s="5">
        <v>444</v>
      </c>
      <c r="H145">
        <v>3370</v>
      </c>
    </row>
    <row r="146" spans="7:8" x14ac:dyDescent="0.25">
      <c r="G146" s="5">
        <v>447</v>
      </c>
      <c r="H146">
        <v>3085</v>
      </c>
    </row>
    <row r="147" spans="7:8" x14ac:dyDescent="0.25">
      <c r="G147" s="5">
        <v>448</v>
      </c>
      <c r="H147">
        <v>6539</v>
      </c>
    </row>
    <row r="148" spans="7:8" x14ac:dyDescent="0.25">
      <c r="G148" s="5">
        <v>449</v>
      </c>
      <c r="H148">
        <v>13224</v>
      </c>
    </row>
    <row r="149" spans="7:8" x14ac:dyDescent="0.25">
      <c r="G149" s="5">
        <v>453</v>
      </c>
      <c r="H149">
        <v>3277</v>
      </c>
    </row>
    <row r="150" spans="7:8" x14ac:dyDescent="0.25">
      <c r="G150" s="5">
        <v>454</v>
      </c>
      <c r="H150">
        <v>3202</v>
      </c>
    </row>
    <row r="151" spans="7:8" x14ac:dyDescent="0.25">
      <c r="G151" s="5">
        <v>455</v>
      </c>
      <c r="H151">
        <v>3037</v>
      </c>
    </row>
    <row r="152" spans="7:8" x14ac:dyDescent="0.25">
      <c r="G152" s="5">
        <v>458</v>
      </c>
      <c r="H152">
        <v>3382</v>
      </c>
    </row>
    <row r="153" spans="7:8" x14ac:dyDescent="0.25">
      <c r="G153" s="5">
        <v>459</v>
      </c>
      <c r="H153">
        <v>3112</v>
      </c>
    </row>
    <row r="154" spans="7:8" x14ac:dyDescent="0.25">
      <c r="G154" s="5">
        <v>460</v>
      </c>
      <c r="H154">
        <v>16421</v>
      </c>
    </row>
    <row r="155" spans="7:8" x14ac:dyDescent="0.25">
      <c r="G155" s="5">
        <v>461</v>
      </c>
      <c r="H155">
        <v>9896</v>
      </c>
    </row>
    <row r="156" spans="7:8" x14ac:dyDescent="0.25">
      <c r="G156" s="5">
        <v>463</v>
      </c>
      <c r="H156">
        <v>3252</v>
      </c>
    </row>
    <row r="157" spans="7:8" x14ac:dyDescent="0.25">
      <c r="G157" s="5">
        <v>464</v>
      </c>
      <c r="H157">
        <v>3094</v>
      </c>
    </row>
    <row r="158" spans="7:8" x14ac:dyDescent="0.25">
      <c r="G158" s="5">
        <v>472</v>
      </c>
      <c r="H158">
        <v>6605</v>
      </c>
    </row>
    <row r="159" spans="7:8" x14ac:dyDescent="0.25">
      <c r="G159" s="5">
        <v>475</v>
      </c>
      <c r="H159">
        <v>3206</v>
      </c>
    </row>
    <row r="160" spans="7:8" x14ac:dyDescent="0.25">
      <c r="G160" s="5">
        <v>478</v>
      </c>
      <c r="H160">
        <v>9366</v>
      </c>
    </row>
    <row r="161" spans="7:8" x14ac:dyDescent="0.25">
      <c r="G161" s="5">
        <v>482</v>
      </c>
      <c r="H161">
        <v>3425</v>
      </c>
    </row>
    <row r="162" spans="7:8" x14ac:dyDescent="0.25">
      <c r="G162" s="5">
        <v>485</v>
      </c>
      <c r="H162">
        <v>3408</v>
      </c>
    </row>
    <row r="163" spans="7:8" x14ac:dyDescent="0.25">
      <c r="G163" s="5">
        <v>492</v>
      </c>
      <c r="H163">
        <v>16246</v>
      </c>
    </row>
    <row r="164" spans="7:8" x14ac:dyDescent="0.25">
      <c r="G164" s="5">
        <v>498</v>
      </c>
      <c r="H164">
        <v>3375</v>
      </c>
    </row>
    <row r="165" spans="7:8" x14ac:dyDescent="0.25">
      <c r="G165" s="5">
        <v>499</v>
      </c>
      <c r="H165">
        <v>6558</v>
      </c>
    </row>
    <row r="166" spans="7:8" x14ac:dyDescent="0.25">
      <c r="G166" s="5" t="s">
        <v>73</v>
      </c>
      <c r="H166">
        <v>584920</v>
      </c>
    </row>
    <row r="167" spans="7:8" x14ac:dyDescent="0.25">
      <c r="G167" s="5" t="s">
        <v>75</v>
      </c>
      <c r="H167">
        <v>1625250</v>
      </c>
    </row>
    <row r="169" spans="7:8" ht="17.399999999999999" x14ac:dyDescent="0.3">
      <c r="H169" s="22">
        <f>GETPIVOTDATA("Sale_ID",$G$3)-GETPIVOTDATA("Sale_ID",$G$3,"stock quantity","NA")</f>
        <v>1040330</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14E0-9299-4473-9358-A070FF600A44}">
  <dimension ref="A3:L10"/>
  <sheetViews>
    <sheetView workbookViewId="0">
      <selection activeCell="P27" sqref="P27"/>
    </sheetView>
  </sheetViews>
  <sheetFormatPr defaultRowHeight="13.2" x14ac:dyDescent="0.25"/>
  <cols>
    <col min="1" max="1" width="16.44140625" bestFit="1" customWidth="1"/>
    <col min="2" max="2" width="16.21875" bestFit="1" customWidth="1"/>
    <col min="3" max="3" width="8.21875" bestFit="1" customWidth="1"/>
    <col min="4" max="4" width="7.109375" bestFit="1" customWidth="1"/>
    <col min="5" max="5" width="5" bestFit="1" customWidth="1"/>
    <col min="6" max="6" width="8.109375" bestFit="1" customWidth="1"/>
    <col min="7" max="7" width="4" bestFit="1" customWidth="1"/>
    <col min="8" max="8" width="6.88671875" bestFit="1" customWidth="1"/>
    <col min="9" max="9" width="5.21875" bestFit="1" customWidth="1"/>
    <col min="10" max="10" width="5.44140625" bestFit="1" customWidth="1"/>
    <col min="11" max="11" width="5.21875" bestFit="1" customWidth="1"/>
    <col min="12" max="12" width="11.33203125" bestFit="1" customWidth="1"/>
  </cols>
  <sheetData>
    <row r="3" spans="1:12" x14ac:dyDescent="0.25">
      <c r="A3" s="14" t="s">
        <v>81</v>
      </c>
      <c r="B3" s="14" t="s">
        <v>78</v>
      </c>
    </row>
    <row r="4" spans="1:12" x14ac:dyDescent="0.25">
      <c r="A4" s="14" t="s">
        <v>74</v>
      </c>
      <c r="B4" t="s">
        <v>32</v>
      </c>
      <c r="C4" t="s">
        <v>15</v>
      </c>
      <c r="D4" t="s">
        <v>26</v>
      </c>
      <c r="E4" t="s">
        <v>30</v>
      </c>
      <c r="F4" t="s">
        <v>31</v>
      </c>
      <c r="G4" t="s">
        <v>35</v>
      </c>
      <c r="H4" t="s">
        <v>36</v>
      </c>
      <c r="I4" t="s">
        <v>34</v>
      </c>
      <c r="J4" t="s">
        <v>22</v>
      </c>
      <c r="K4" t="s">
        <v>19</v>
      </c>
      <c r="L4" t="s">
        <v>75</v>
      </c>
    </row>
    <row r="5" spans="1:12" x14ac:dyDescent="0.25">
      <c r="A5" s="5" t="s">
        <v>9</v>
      </c>
      <c r="B5">
        <v>12</v>
      </c>
      <c r="C5">
        <v>10</v>
      </c>
      <c r="D5">
        <v>11</v>
      </c>
      <c r="E5">
        <v>7</v>
      </c>
      <c r="F5">
        <v>14</v>
      </c>
      <c r="G5">
        <v>8</v>
      </c>
      <c r="H5">
        <v>5</v>
      </c>
      <c r="I5">
        <v>8</v>
      </c>
      <c r="J5">
        <v>12</v>
      </c>
      <c r="K5">
        <v>11</v>
      </c>
      <c r="L5">
        <v>98</v>
      </c>
    </row>
    <row r="6" spans="1:12" x14ac:dyDescent="0.25">
      <c r="A6" s="5" t="s">
        <v>25</v>
      </c>
      <c r="B6">
        <v>8</v>
      </c>
      <c r="C6">
        <v>9</v>
      </c>
      <c r="D6">
        <v>14</v>
      </c>
      <c r="E6">
        <v>7</v>
      </c>
      <c r="F6">
        <v>9</v>
      </c>
      <c r="G6">
        <v>11</v>
      </c>
      <c r="H6">
        <v>2</v>
      </c>
      <c r="I6">
        <v>6</v>
      </c>
      <c r="J6">
        <v>7</v>
      </c>
      <c r="K6">
        <v>4</v>
      </c>
      <c r="L6">
        <v>77</v>
      </c>
    </row>
    <row r="7" spans="1:12" x14ac:dyDescent="0.25">
      <c r="A7" s="5" t="s">
        <v>12</v>
      </c>
      <c r="B7">
        <v>7</v>
      </c>
      <c r="C7">
        <v>12</v>
      </c>
      <c r="D7">
        <v>9</v>
      </c>
      <c r="E7">
        <v>19</v>
      </c>
      <c r="F7">
        <v>8</v>
      </c>
      <c r="G7">
        <v>10</v>
      </c>
      <c r="H7">
        <v>14</v>
      </c>
      <c r="I7">
        <v>5</v>
      </c>
      <c r="J7">
        <v>14</v>
      </c>
      <c r="K7">
        <v>17</v>
      </c>
      <c r="L7">
        <v>115</v>
      </c>
    </row>
    <row r="8" spans="1:12" x14ac:dyDescent="0.25">
      <c r="A8" s="5" t="s">
        <v>14</v>
      </c>
      <c r="B8">
        <v>9</v>
      </c>
      <c r="C8">
        <v>13</v>
      </c>
      <c r="D8">
        <v>14</v>
      </c>
      <c r="E8">
        <v>7</v>
      </c>
      <c r="F8">
        <v>13</v>
      </c>
      <c r="G8">
        <v>14</v>
      </c>
      <c r="H8">
        <v>10</v>
      </c>
      <c r="I8">
        <v>6</v>
      </c>
      <c r="J8">
        <v>9</v>
      </c>
      <c r="K8">
        <v>11</v>
      </c>
      <c r="L8">
        <v>106</v>
      </c>
    </row>
    <row r="9" spans="1:12" x14ac:dyDescent="0.25">
      <c r="A9" s="5" t="s">
        <v>7</v>
      </c>
      <c r="B9">
        <v>16</v>
      </c>
      <c r="C9">
        <v>9</v>
      </c>
      <c r="D9">
        <v>9</v>
      </c>
      <c r="E9">
        <v>8</v>
      </c>
      <c r="F9">
        <v>15</v>
      </c>
      <c r="G9">
        <v>11</v>
      </c>
      <c r="H9">
        <v>7</v>
      </c>
      <c r="I9">
        <v>9</v>
      </c>
      <c r="J9">
        <v>12</v>
      </c>
      <c r="K9">
        <v>8</v>
      </c>
      <c r="L9">
        <v>104</v>
      </c>
    </row>
    <row r="10" spans="1:12" x14ac:dyDescent="0.25">
      <c r="A10" s="5" t="s">
        <v>75</v>
      </c>
      <c r="B10">
        <v>52</v>
      </c>
      <c r="C10">
        <v>53</v>
      </c>
      <c r="D10">
        <v>57</v>
      </c>
      <c r="E10">
        <v>48</v>
      </c>
      <c r="F10">
        <v>59</v>
      </c>
      <c r="G10">
        <v>54</v>
      </c>
      <c r="H10">
        <v>38</v>
      </c>
      <c r="I10">
        <v>34</v>
      </c>
      <c r="J10">
        <v>54</v>
      </c>
      <c r="K10">
        <v>51</v>
      </c>
      <c r="L10">
        <v>500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DEF0-F4FD-4BB5-8D02-B19436E077C6}">
  <dimension ref="A1:L8"/>
  <sheetViews>
    <sheetView workbookViewId="0">
      <selection activeCell="A3" sqref="A3:L3"/>
      <pivotSelection pane="bottomRight" showHeader="1" extendable="1" axis="axisRow" max="6" activeRow="2" previousRow="2" click="1" r:id="rId1">
        <pivotArea dataOnly="0" fieldPosition="0">
          <references count="1">
            <reference field="8" count="1">
              <x v="0"/>
            </reference>
          </references>
        </pivotArea>
      </pivotSelection>
    </sheetView>
  </sheetViews>
  <sheetFormatPr defaultRowHeight="13.2" x14ac:dyDescent="0.25"/>
  <cols>
    <col min="1" max="1" width="16.44140625" bestFit="1" customWidth="1"/>
    <col min="2" max="2" width="16.21875" bestFit="1" customWidth="1"/>
    <col min="3" max="3" width="8.21875" bestFit="1" customWidth="1"/>
    <col min="4" max="4" width="7.109375" bestFit="1" customWidth="1"/>
    <col min="5" max="5" width="5" bestFit="1" customWidth="1"/>
    <col min="6" max="6" width="8.109375" bestFit="1" customWidth="1"/>
    <col min="7" max="7" width="4" bestFit="1" customWidth="1"/>
    <col min="8" max="8" width="6.88671875" bestFit="1" customWidth="1"/>
    <col min="9" max="9" width="5.21875" bestFit="1" customWidth="1"/>
    <col min="10" max="10" width="5.44140625" bestFit="1" customWidth="1"/>
    <col min="11" max="11" width="5.21875" bestFit="1" customWidth="1"/>
    <col min="12" max="12" width="11.33203125" bestFit="1" customWidth="1"/>
    <col min="13" max="13" width="8.5546875" bestFit="1" customWidth="1"/>
    <col min="14" max="14" width="8.21875" bestFit="1" customWidth="1"/>
    <col min="15" max="15" width="7.109375" bestFit="1" customWidth="1"/>
    <col min="16" max="16" width="5" bestFit="1" customWidth="1"/>
    <col min="17" max="17" width="8.109375" bestFit="1" customWidth="1"/>
    <col min="18" max="18" width="4" bestFit="1" customWidth="1"/>
    <col min="19" max="19" width="6.88671875" bestFit="1" customWidth="1"/>
    <col min="20" max="20" width="5.44140625" bestFit="1" customWidth="1"/>
    <col min="21" max="21" width="5.21875" bestFit="1" customWidth="1"/>
    <col min="22" max="22" width="11.5546875" bestFit="1" customWidth="1"/>
    <col min="23" max="23" width="10.88671875" bestFit="1" customWidth="1"/>
    <col min="24" max="24" width="8.21875" bestFit="1" customWidth="1"/>
    <col min="25" max="25" width="7.109375" bestFit="1" customWidth="1"/>
    <col min="26" max="26" width="5" bestFit="1" customWidth="1"/>
    <col min="27" max="27" width="8.109375" bestFit="1" customWidth="1"/>
    <col min="28" max="28" width="4" bestFit="1" customWidth="1"/>
    <col min="29" max="29" width="6.88671875" bestFit="1" customWidth="1"/>
    <col min="30" max="30" width="5.21875" bestFit="1" customWidth="1"/>
    <col min="31" max="31" width="5.44140625" bestFit="1" customWidth="1"/>
    <col min="32" max="32" width="5.21875" bestFit="1" customWidth="1"/>
    <col min="33" max="33" width="14" bestFit="1" customWidth="1"/>
    <col min="34" max="34" width="10.21875" bestFit="1" customWidth="1"/>
    <col min="35" max="35" width="8.21875" bestFit="1" customWidth="1"/>
    <col min="36" max="36" width="7.109375" bestFit="1" customWidth="1"/>
    <col min="37" max="37" width="5" bestFit="1" customWidth="1"/>
    <col min="38" max="38" width="8.109375" bestFit="1" customWidth="1"/>
    <col min="39" max="39" width="4" bestFit="1" customWidth="1"/>
    <col min="40" max="40" width="6.88671875" bestFit="1" customWidth="1"/>
    <col min="41" max="41" width="5.21875" bestFit="1" customWidth="1"/>
    <col min="42" max="42" width="5.44140625" bestFit="1" customWidth="1"/>
    <col min="43" max="43" width="5.21875" bestFit="1" customWidth="1"/>
    <col min="44" max="44" width="13.33203125" bestFit="1" customWidth="1"/>
    <col min="45" max="45" width="11.5546875" bestFit="1" customWidth="1"/>
    <col min="46" max="46" width="8.21875" bestFit="1" customWidth="1"/>
    <col min="47" max="47" width="7.109375" bestFit="1" customWidth="1"/>
    <col min="48" max="48" width="5" bestFit="1" customWidth="1"/>
    <col min="49" max="49" width="8.109375" bestFit="1" customWidth="1"/>
    <col min="50" max="50" width="4" bestFit="1" customWidth="1"/>
    <col min="51" max="51" width="6.88671875" bestFit="1" customWidth="1"/>
    <col min="52" max="52" width="5.21875" bestFit="1" customWidth="1"/>
    <col min="53" max="53" width="5.44140625" bestFit="1" customWidth="1"/>
    <col min="54" max="54" width="5.21875" bestFit="1" customWidth="1"/>
    <col min="55" max="55" width="14.6640625" bestFit="1" customWidth="1"/>
    <col min="56" max="56" width="11.33203125" bestFit="1" customWidth="1"/>
  </cols>
  <sheetData>
    <row r="1" spans="1:12" x14ac:dyDescent="0.25">
      <c r="A1" s="14" t="s">
        <v>81</v>
      </c>
      <c r="B1" s="14" t="s">
        <v>78</v>
      </c>
    </row>
    <row r="2" spans="1:12" x14ac:dyDescent="0.25">
      <c r="A2" s="14" t="s">
        <v>74</v>
      </c>
      <c r="B2" t="s">
        <v>32</v>
      </c>
      <c r="C2" t="s">
        <v>15</v>
      </c>
      <c r="D2" t="s">
        <v>26</v>
      </c>
      <c r="E2" t="s">
        <v>30</v>
      </c>
      <c r="F2" t="s">
        <v>31</v>
      </c>
      <c r="G2" t="s">
        <v>35</v>
      </c>
      <c r="H2" t="s">
        <v>36</v>
      </c>
      <c r="I2" t="s">
        <v>34</v>
      </c>
      <c r="J2" t="s">
        <v>22</v>
      </c>
      <c r="K2" t="s">
        <v>19</v>
      </c>
      <c r="L2" t="s">
        <v>75</v>
      </c>
    </row>
    <row r="3" spans="1:12" x14ac:dyDescent="0.25">
      <c r="A3" s="5" t="s">
        <v>20</v>
      </c>
      <c r="B3">
        <v>7</v>
      </c>
      <c r="C3">
        <v>2</v>
      </c>
      <c r="D3">
        <v>15</v>
      </c>
      <c r="E3">
        <v>13</v>
      </c>
      <c r="F3">
        <v>14</v>
      </c>
      <c r="G3">
        <v>15</v>
      </c>
      <c r="H3">
        <v>9</v>
      </c>
      <c r="I3">
        <v>8</v>
      </c>
      <c r="J3">
        <v>11</v>
      </c>
      <c r="K3">
        <v>10</v>
      </c>
      <c r="L3">
        <v>104</v>
      </c>
    </row>
    <row r="4" spans="1:12" x14ac:dyDescent="0.25">
      <c r="A4" s="5" t="s">
        <v>16</v>
      </c>
      <c r="B4">
        <v>2</v>
      </c>
      <c r="C4">
        <v>8</v>
      </c>
      <c r="D4">
        <v>8</v>
      </c>
      <c r="E4">
        <v>8</v>
      </c>
      <c r="F4">
        <v>4</v>
      </c>
      <c r="G4">
        <v>6</v>
      </c>
      <c r="H4">
        <v>7</v>
      </c>
      <c r="J4">
        <v>16</v>
      </c>
      <c r="K4">
        <v>11</v>
      </c>
      <c r="L4">
        <v>70</v>
      </c>
    </row>
    <row r="5" spans="1:12" x14ac:dyDescent="0.25">
      <c r="A5" s="5" t="s">
        <v>33</v>
      </c>
      <c r="B5">
        <v>11</v>
      </c>
      <c r="C5">
        <v>18</v>
      </c>
      <c r="D5">
        <v>20</v>
      </c>
      <c r="E5">
        <v>13</v>
      </c>
      <c r="F5">
        <v>14</v>
      </c>
      <c r="G5">
        <v>11</v>
      </c>
      <c r="H5">
        <v>6</v>
      </c>
      <c r="I5">
        <v>12</v>
      </c>
      <c r="J5">
        <v>11</v>
      </c>
      <c r="K5">
        <v>11</v>
      </c>
      <c r="L5">
        <v>127</v>
      </c>
    </row>
    <row r="6" spans="1:12" x14ac:dyDescent="0.25">
      <c r="A6" s="5" t="s">
        <v>27</v>
      </c>
      <c r="B6">
        <v>15</v>
      </c>
      <c r="C6">
        <v>12</v>
      </c>
      <c r="D6">
        <v>6</v>
      </c>
      <c r="E6">
        <v>10</v>
      </c>
      <c r="F6">
        <v>14</v>
      </c>
      <c r="G6">
        <v>10</v>
      </c>
      <c r="H6">
        <v>6</v>
      </c>
      <c r="I6">
        <v>8</v>
      </c>
      <c r="J6">
        <v>10</v>
      </c>
      <c r="K6">
        <v>6</v>
      </c>
      <c r="L6">
        <v>97</v>
      </c>
    </row>
    <row r="7" spans="1:12" x14ac:dyDescent="0.25">
      <c r="A7" s="5" t="s">
        <v>28</v>
      </c>
      <c r="B7">
        <v>17</v>
      </c>
      <c r="C7">
        <v>13</v>
      </c>
      <c r="D7">
        <v>8</v>
      </c>
      <c r="E7">
        <v>4</v>
      </c>
      <c r="F7">
        <v>13</v>
      </c>
      <c r="G7">
        <v>12</v>
      </c>
      <c r="H7">
        <v>10</v>
      </c>
      <c r="I7">
        <v>6</v>
      </c>
      <c r="J7">
        <v>6</v>
      </c>
      <c r="K7">
        <v>13</v>
      </c>
      <c r="L7">
        <v>102</v>
      </c>
    </row>
    <row r="8" spans="1:12" x14ac:dyDescent="0.25">
      <c r="A8" s="5" t="s">
        <v>75</v>
      </c>
      <c r="B8">
        <v>52</v>
      </c>
      <c r="C8">
        <v>53</v>
      </c>
      <c r="D8">
        <v>57</v>
      </c>
      <c r="E8">
        <v>48</v>
      </c>
      <c r="F8">
        <v>59</v>
      </c>
      <c r="G8">
        <v>54</v>
      </c>
      <c r="H8">
        <v>38</v>
      </c>
      <c r="I8">
        <v>34</v>
      </c>
      <c r="J8">
        <v>54</v>
      </c>
      <c r="K8">
        <v>51</v>
      </c>
      <c r="L8">
        <v>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0C19-968D-4C89-93D3-ED019781C914}">
  <dimension ref="A3:B9"/>
  <sheetViews>
    <sheetView workbookViewId="0">
      <selection activeCell="O17" sqref="O17"/>
    </sheetView>
  </sheetViews>
  <sheetFormatPr defaultRowHeight="13.2" x14ac:dyDescent="0.25"/>
  <cols>
    <col min="1" max="1" width="13.33203125" bestFit="1" customWidth="1"/>
    <col min="2" max="2" width="23.77734375" bestFit="1" customWidth="1"/>
  </cols>
  <sheetData>
    <row r="3" spans="1:2" x14ac:dyDescent="0.25">
      <c r="A3" s="14" t="s">
        <v>74</v>
      </c>
      <c r="B3" t="s">
        <v>76</v>
      </c>
    </row>
    <row r="4" spans="1:2" x14ac:dyDescent="0.25">
      <c r="A4" s="5" t="s">
        <v>20</v>
      </c>
      <c r="B4" s="15">
        <v>0.2193677986567685</v>
      </c>
    </row>
    <row r="5" spans="1:2" x14ac:dyDescent="0.25">
      <c r="A5" s="5" t="s">
        <v>16</v>
      </c>
      <c r="B5" s="15">
        <v>0.14738224541014605</v>
      </c>
    </row>
    <row r="6" spans="1:2" x14ac:dyDescent="0.25">
      <c r="A6" s="5" t="s">
        <v>33</v>
      </c>
      <c r="B6" s="15">
        <v>0.2466823908609416</v>
      </c>
    </row>
    <row r="7" spans="1:2" x14ac:dyDescent="0.25">
      <c r="A7" s="5" t="s">
        <v>27</v>
      </c>
      <c r="B7" s="15">
        <v>0.18978570888976556</v>
      </c>
    </row>
    <row r="8" spans="1:2" x14ac:dyDescent="0.25">
      <c r="A8" s="5" t="s">
        <v>28</v>
      </c>
      <c r="B8" s="15">
        <v>0.19678185618237828</v>
      </c>
    </row>
    <row r="9" spans="1:2" x14ac:dyDescent="0.25">
      <c r="A9" s="5" t="s">
        <v>75</v>
      </c>
      <c r="B9" s="1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22773-815B-48CD-9F8D-0B918634A610}">
  <dimension ref="A3:N326"/>
  <sheetViews>
    <sheetView showGridLines="0" topLeftCell="D1" workbookViewId="0">
      <selection activeCell="N4" sqref="N4"/>
    </sheetView>
  </sheetViews>
  <sheetFormatPr defaultRowHeight="13.2" x14ac:dyDescent="0.25"/>
  <cols>
    <col min="1" max="1" width="7.77734375" customWidth="1"/>
    <col min="2" max="2" width="5.88671875" customWidth="1"/>
    <col min="4" max="4" width="13.33203125" bestFit="1" customWidth="1"/>
    <col min="5" max="5" width="23.77734375" bestFit="1" customWidth="1"/>
    <col min="6" max="6" width="10.5546875" customWidth="1"/>
    <col min="7" max="7" width="13.33203125" bestFit="1" customWidth="1"/>
    <col min="8" max="8" width="16.44140625" bestFit="1" customWidth="1"/>
    <col min="9" max="9" width="15" bestFit="1" customWidth="1"/>
    <col min="10" max="10" width="13.33203125" bestFit="1" customWidth="1"/>
    <col min="11" max="11" width="27.109375" bestFit="1" customWidth="1"/>
    <col min="12" max="12" width="5.33203125" customWidth="1"/>
    <col min="13" max="13" width="13.33203125" bestFit="1" customWidth="1"/>
    <col min="14" max="14" width="23.77734375" bestFit="1" customWidth="1"/>
  </cols>
  <sheetData>
    <row r="3" spans="1:14" x14ac:dyDescent="0.25">
      <c r="A3" s="14" t="s">
        <v>74</v>
      </c>
      <c r="B3" t="s">
        <v>80</v>
      </c>
      <c r="D3" s="14" t="s">
        <v>74</v>
      </c>
      <c r="E3" t="s">
        <v>76</v>
      </c>
      <c r="G3" s="14" t="s">
        <v>74</v>
      </c>
      <c r="H3" t="s">
        <v>81</v>
      </c>
      <c r="J3" s="14" t="s">
        <v>74</v>
      </c>
      <c r="K3" t="s">
        <v>82</v>
      </c>
      <c r="M3" s="14" t="s">
        <v>74</v>
      </c>
      <c r="N3" t="s">
        <v>76</v>
      </c>
    </row>
    <row r="4" spans="1:14" x14ac:dyDescent="0.25">
      <c r="A4" s="5">
        <v>1003</v>
      </c>
      <c r="B4">
        <v>37</v>
      </c>
      <c r="D4" s="5" t="s">
        <v>9</v>
      </c>
      <c r="E4">
        <v>625442</v>
      </c>
      <c r="G4" s="5" t="s">
        <v>32</v>
      </c>
      <c r="H4">
        <v>52</v>
      </c>
      <c r="J4" s="5">
        <v>1003</v>
      </c>
      <c r="K4">
        <v>9694</v>
      </c>
      <c r="M4" s="5" t="s">
        <v>31</v>
      </c>
      <c r="N4">
        <v>469597</v>
      </c>
    </row>
    <row r="5" spans="1:14" x14ac:dyDescent="0.25">
      <c r="A5" s="5">
        <v>1006</v>
      </c>
      <c r="B5">
        <v>68</v>
      </c>
      <c r="D5" s="5" t="s">
        <v>25</v>
      </c>
      <c r="E5">
        <v>489861</v>
      </c>
      <c r="G5" s="5" t="s">
        <v>15</v>
      </c>
      <c r="H5">
        <v>53</v>
      </c>
      <c r="J5" s="5">
        <v>1006</v>
      </c>
      <c r="K5">
        <v>8306</v>
      </c>
      <c r="M5" s="5" t="s">
        <v>35</v>
      </c>
      <c r="N5">
        <v>398092</v>
      </c>
    </row>
    <row r="6" spans="1:14" x14ac:dyDescent="0.25">
      <c r="A6" s="5">
        <v>1007</v>
      </c>
      <c r="B6">
        <v>29</v>
      </c>
      <c r="D6" s="5" t="s">
        <v>12</v>
      </c>
      <c r="E6">
        <v>838135</v>
      </c>
      <c r="G6" s="5" t="s">
        <v>26</v>
      </c>
      <c r="H6">
        <v>57</v>
      </c>
      <c r="J6" s="5">
        <v>1007</v>
      </c>
      <c r="K6">
        <v>2465</v>
      </c>
      <c r="M6" s="5" t="s">
        <v>26</v>
      </c>
      <c r="N6">
        <v>390691</v>
      </c>
    </row>
    <row r="7" spans="1:14" x14ac:dyDescent="0.25">
      <c r="A7" s="5">
        <v>1009</v>
      </c>
      <c r="B7">
        <v>17</v>
      </c>
      <c r="D7" s="5" t="s">
        <v>14</v>
      </c>
      <c r="E7">
        <v>728345</v>
      </c>
      <c r="G7" s="5" t="s">
        <v>30</v>
      </c>
      <c r="H7">
        <v>48</v>
      </c>
      <c r="J7" s="5">
        <v>1009</v>
      </c>
      <c r="K7">
        <v>4505</v>
      </c>
      <c r="M7" s="5" t="s">
        <v>19</v>
      </c>
      <c r="N7">
        <v>386395</v>
      </c>
    </row>
    <row r="8" spans="1:14" x14ac:dyDescent="0.25">
      <c r="A8" s="5">
        <v>1011</v>
      </c>
      <c r="B8">
        <v>14</v>
      </c>
      <c r="D8" s="5" t="s">
        <v>7</v>
      </c>
      <c r="E8">
        <v>654053</v>
      </c>
      <c r="G8" s="5" t="s">
        <v>31</v>
      </c>
      <c r="H8">
        <v>59</v>
      </c>
      <c r="J8" s="5">
        <v>1011</v>
      </c>
      <c r="K8">
        <v>3248</v>
      </c>
      <c r="M8" s="5" t="s">
        <v>30</v>
      </c>
      <c r="N8">
        <v>343544</v>
      </c>
    </row>
    <row r="9" spans="1:14" x14ac:dyDescent="0.25">
      <c r="A9" s="5">
        <v>1012</v>
      </c>
      <c r="B9">
        <v>50</v>
      </c>
      <c r="D9" s="5" t="s">
        <v>75</v>
      </c>
      <c r="E9">
        <v>3335836</v>
      </c>
      <c r="G9" s="5" t="s">
        <v>35</v>
      </c>
      <c r="H9">
        <v>54</v>
      </c>
      <c r="J9" s="5">
        <v>1012</v>
      </c>
      <c r="K9">
        <v>7558</v>
      </c>
      <c r="M9" s="5" t="s">
        <v>22</v>
      </c>
      <c r="N9">
        <v>334006</v>
      </c>
    </row>
    <row r="10" spans="1:14" x14ac:dyDescent="0.25">
      <c r="A10" s="5">
        <v>1015</v>
      </c>
      <c r="B10">
        <v>1</v>
      </c>
      <c r="G10" s="5" t="s">
        <v>36</v>
      </c>
      <c r="H10">
        <v>38</v>
      </c>
      <c r="J10" s="5">
        <v>1015</v>
      </c>
      <c r="K10">
        <v>482</v>
      </c>
      <c r="M10" s="5" t="s">
        <v>32</v>
      </c>
      <c r="N10">
        <v>291417</v>
      </c>
    </row>
    <row r="11" spans="1:14" ht="15.6" x14ac:dyDescent="0.3">
      <c r="A11" s="5">
        <v>1018</v>
      </c>
      <c r="B11">
        <v>85</v>
      </c>
      <c r="E11" s="18">
        <f>GETPIVOTDATA("maximum revenue",$D$3)</f>
        <v>3335836</v>
      </c>
      <c r="G11" s="5" t="s">
        <v>34</v>
      </c>
      <c r="H11">
        <v>34</v>
      </c>
      <c r="J11" s="5">
        <v>1018</v>
      </c>
      <c r="K11">
        <v>7708</v>
      </c>
      <c r="M11" s="5" t="s">
        <v>15</v>
      </c>
      <c r="N11">
        <v>271419</v>
      </c>
    </row>
    <row r="12" spans="1:14" x14ac:dyDescent="0.25">
      <c r="A12" s="5">
        <v>1020</v>
      </c>
      <c r="B12">
        <v>35</v>
      </c>
      <c r="G12" s="5" t="s">
        <v>22</v>
      </c>
      <c r="H12">
        <v>54</v>
      </c>
      <c r="J12" s="5">
        <v>1020</v>
      </c>
      <c r="K12">
        <v>16905</v>
      </c>
      <c r="M12" s="5" t="s">
        <v>36</v>
      </c>
      <c r="N12">
        <v>266832</v>
      </c>
    </row>
    <row r="13" spans="1:14" x14ac:dyDescent="0.25">
      <c r="A13" s="5">
        <v>1022</v>
      </c>
      <c r="B13">
        <v>50</v>
      </c>
      <c r="G13" s="5" t="s">
        <v>19</v>
      </c>
      <c r="H13">
        <v>51</v>
      </c>
      <c r="J13" s="5">
        <v>1022</v>
      </c>
      <c r="K13">
        <v>22050</v>
      </c>
      <c r="M13" s="5" t="s">
        <v>34</v>
      </c>
      <c r="N13">
        <v>183843</v>
      </c>
    </row>
    <row r="14" spans="1:14" x14ac:dyDescent="0.25">
      <c r="A14" s="5">
        <v>1023</v>
      </c>
      <c r="B14">
        <v>75</v>
      </c>
      <c r="G14" s="5" t="s">
        <v>75</v>
      </c>
      <c r="H14">
        <v>500</v>
      </c>
      <c r="J14" s="5">
        <v>1023</v>
      </c>
      <c r="K14">
        <v>16537.5</v>
      </c>
      <c r="M14" s="5" t="s">
        <v>75</v>
      </c>
      <c r="N14">
        <v>3335836</v>
      </c>
    </row>
    <row r="15" spans="1:14" x14ac:dyDescent="0.25">
      <c r="A15" s="5">
        <v>1024</v>
      </c>
      <c r="B15">
        <v>91</v>
      </c>
      <c r="J15" s="5">
        <v>1024</v>
      </c>
      <c r="K15" s="20">
        <v>7373.333333333333</v>
      </c>
    </row>
    <row r="16" spans="1:14" ht="15.6" x14ac:dyDescent="0.3">
      <c r="A16" s="5">
        <v>1025</v>
      </c>
      <c r="B16">
        <v>45</v>
      </c>
      <c r="H16" s="19">
        <f>GETPIVOTDATA("Plant_ID",$G$3)</f>
        <v>500</v>
      </c>
      <c r="J16" s="5">
        <v>1025</v>
      </c>
      <c r="K16">
        <v>5102.5</v>
      </c>
    </row>
    <row r="17" spans="1:11" x14ac:dyDescent="0.25">
      <c r="A17" s="5">
        <v>1029</v>
      </c>
      <c r="B17">
        <v>10</v>
      </c>
      <c r="J17" s="5">
        <v>1029</v>
      </c>
      <c r="K17">
        <v>1810</v>
      </c>
    </row>
    <row r="18" spans="1:11" x14ac:dyDescent="0.25">
      <c r="A18" s="5">
        <v>1030</v>
      </c>
      <c r="B18">
        <v>41</v>
      </c>
      <c r="J18" s="5">
        <v>1030</v>
      </c>
      <c r="K18">
        <v>7626</v>
      </c>
    </row>
    <row r="19" spans="1:11" x14ac:dyDescent="0.25">
      <c r="A19" s="5">
        <v>1031</v>
      </c>
      <c r="B19">
        <v>13</v>
      </c>
      <c r="J19" s="5">
        <v>1031</v>
      </c>
      <c r="K19">
        <v>3718</v>
      </c>
    </row>
    <row r="20" spans="1:11" x14ac:dyDescent="0.25">
      <c r="A20" s="5">
        <v>1032</v>
      </c>
      <c r="B20">
        <v>67</v>
      </c>
      <c r="J20" s="5">
        <v>1032</v>
      </c>
      <c r="K20">
        <v>3323</v>
      </c>
    </row>
    <row r="21" spans="1:11" x14ac:dyDescent="0.25">
      <c r="A21" s="5">
        <v>1034</v>
      </c>
      <c r="B21">
        <v>44</v>
      </c>
      <c r="J21" s="5">
        <v>1034</v>
      </c>
      <c r="K21">
        <v>2798</v>
      </c>
    </row>
    <row r="22" spans="1:11" x14ac:dyDescent="0.25">
      <c r="A22" s="5">
        <v>1035</v>
      </c>
      <c r="B22">
        <v>36</v>
      </c>
      <c r="J22" s="5">
        <v>1035</v>
      </c>
      <c r="K22">
        <v>2268</v>
      </c>
    </row>
    <row r="23" spans="1:11" x14ac:dyDescent="0.25">
      <c r="A23" s="5">
        <v>1037</v>
      </c>
      <c r="B23">
        <v>100</v>
      </c>
      <c r="J23" s="5">
        <v>1037</v>
      </c>
      <c r="K23" s="20">
        <v>5014.333333333333</v>
      </c>
    </row>
    <row r="24" spans="1:11" x14ac:dyDescent="0.25">
      <c r="A24" s="5">
        <v>1040</v>
      </c>
      <c r="B24">
        <v>16</v>
      </c>
      <c r="J24" s="5">
        <v>1040</v>
      </c>
      <c r="K24">
        <v>6272</v>
      </c>
    </row>
    <row r="25" spans="1:11" x14ac:dyDescent="0.25">
      <c r="A25" s="5">
        <v>1041</v>
      </c>
      <c r="B25">
        <v>18</v>
      </c>
      <c r="J25" s="5">
        <v>1041</v>
      </c>
      <c r="K25">
        <v>6012</v>
      </c>
    </row>
    <row r="26" spans="1:11" x14ac:dyDescent="0.25">
      <c r="A26" s="5">
        <v>1042</v>
      </c>
      <c r="B26">
        <v>66</v>
      </c>
      <c r="J26" s="5">
        <v>1042</v>
      </c>
      <c r="K26">
        <v>5100</v>
      </c>
    </row>
    <row r="27" spans="1:11" x14ac:dyDescent="0.25">
      <c r="A27" s="5">
        <v>1044</v>
      </c>
      <c r="B27">
        <v>59</v>
      </c>
      <c r="J27" s="5">
        <v>1044</v>
      </c>
      <c r="K27">
        <v>14178</v>
      </c>
    </row>
    <row r="28" spans="1:11" x14ac:dyDescent="0.25">
      <c r="A28" s="5">
        <v>1045</v>
      </c>
      <c r="B28">
        <v>76</v>
      </c>
      <c r="J28" s="5">
        <v>1045</v>
      </c>
      <c r="K28" s="20">
        <v>8600.6666666666661</v>
      </c>
    </row>
    <row r="29" spans="1:11" x14ac:dyDescent="0.25">
      <c r="A29" s="5">
        <v>1046</v>
      </c>
      <c r="B29">
        <v>41</v>
      </c>
      <c r="J29" s="5">
        <v>1046</v>
      </c>
      <c r="K29">
        <v>5062.5</v>
      </c>
    </row>
    <row r="30" spans="1:11" x14ac:dyDescent="0.25">
      <c r="A30" s="5">
        <v>1047</v>
      </c>
      <c r="B30">
        <v>31</v>
      </c>
      <c r="J30" s="5">
        <v>1047</v>
      </c>
      <c r="K30">
        <v>7657</v>
      </c>
    </row>
    <row r="31" spans="1:11" x14ac:dyDescent="0.25">
      <c r="A31" s="5">
        <v>1048</v>
      </c>
      <c r="B31">
        <v>19</v>
      </c>
      <c r="J31" s="5">
        <v>1048</v>
      </c>
      <c r="K31">
        <v>1459</v>
      </c>
    </row>
    <row r="32" spans="1:11" x14ac:dyDescent="0.25">
      <c r="A32" s="5">
        <v>1050</v>
      </c>
      <c r="B32">
        <v>41</v>
      </c>
      <c r="J32" s="5">
        <v>1050</v>
      </c>
      <c r="K32">
        <v>12054</v>
      </c>
    </row>
    <row r="33" spans="1:11" x14ac:dyDescent="0.25">
      <c r="A33" s="5">
        <v>1051</v>
      </c>
      <c r="B33">
        <v>43</v>
      </c>
      <c r="J33" s="5">
        <v>1051</v>
      </c>
      <c r="K33">
        <v>4644</v>
      </c>
    </row>
    <row r="34" spans="1:11" x14ac:dyDescent="0.25">
      <c r="A34" s="5">
        <v>1052</v>
      </c>
      <c r="B34">
        <v>13</v>
      </c>
      <c r="J34" s="5">
        <v>1052</v>
      </c>
      <c r="K34">
        <v>962</v>
      </c>
    </row>
    <row r="35" spans="1:11" x14ac:dyDescent="0.25">
      <c r="A35" s="5">
        <v>1059</v>
      </c>
      <c r="B35">
        <v>1</v>
      </c>
      <c r="J35" s="5">
        <v>1059</v>
      </c>
      <c r="K35">
        <v>465</v>
      </c>
    </row>
    <row r="36" spans="1:11" x14ac:dyDescent="0.25">
      <c r="A36" s="5">
        <v>1060</v>
      </c>
      <c r="B36">
        <v>53</v>
      </c>
      <c r="J36" s="5">
        <v>1060</v>
      </c>
      <c r="K36">
        <v>7145.5</v>
      </c>
    </row>
    <row r="37" spans="1:11" x14ac:dyDescent="0.25">
      <c r="A37" s="5">
        <v>1062</v>
      </c>
      <c r="B37">
        <v>28</v>
      </c>
      <c r="J37" s="5">
        <v>1062</v>
      </c>
      <c r="K37">
        <v>4760</v>
      </c>
    </row>
    <row r="38" spans="1:11" x14ac:dyDescent="0.25">
      <c r="A38" s="5">
        <v>1065</v>
      </c>
      <c r="B38">
        <v>219</v>
      </c>
      <c r="J38" s="5">
        <v>1065</v>
      </c>
      <c r="K38">
        <v>9702.25</v>
      </c>
    </row>
    <row r="39" spans="1:11" x14ac:dyDescent="0.25">
      <c r="A39" s="5">
        <v>1067</v>
      </c>
      <c r="B39">
        <v>40</v>
      </c>
      <c r="J39" s="5">
        <v>1067</v>
      </c>
      <c r="K39">
        <v>5240</v>
      </c>
    </row>
    <row r="40" spans="1:11" x14ac:dyDescent="0.25">
      <c r="A40" s="5">
        <v>1068</v>
      </c>
      <c r="B40">
        <v>98</v>
      </c>
      <c r="J40" s="5">
        <v>1068</v>
      </c>
      <c r="K40">
        <v>18375</v>
      </c>
    </row>
    <row r="41" spans="1:11" x14ac:dyDescent="0.25">
      <c r="A41" s="5">
        <v>1070</v>
      </c>
      <c r="B41">
        <v>48</v>
      </c>
      <c r="J41" s="5">
        <v>1070</v>
      </c>
      <c r="K41">
        <v>20880</v>
      </c>
    </row>
    <row r="42" spans="1:11" x14ac:dyDescent="0.25">
      <c r="A42" s="5">
        <v>1072</v>
      </c>
      <c r="B42">
        <v>95</v>
      </c>
      <c r="J42" s="5">
        <v>1072</v>
      </c>
      <c r="K42">
        <v>13435</v>
      </c>
    </row>
    <row r="43" spans="1:11" x14ac:dyDescent="0.25">
      <c r="A43" s="5">
        <v>1077</v>
      </c>
      <c r="B43">
        <v>3</v>
      </c>
      <c r="J43" s="5">
        <v>1077</v>
      </c>
      <c r="K43">
        <v>912</v>
      </c>
    </row>
    <row r="44" spans="1:11" x14ac:dyDescent="0.25">
      <c r="A44" s="5">
        <v>1079</v>
      </c>
      <c r="B44">
        <v>31</v>
      </c>
      <c r="J44" s="5">
        <v>1079</v>
      </c>
      <c r="K44">
        <v>5921</v>
      </c>
    </row>
    <row r="45" spans="1:11" x14ac:dyDescent="0.25">
      <c r="A45" s="5">
        <v>1080</v>
      </c>
      <c r="B45">
        <v>50</v>
      </c>
      <c r="J45" s="5">
        <v>1080</v>
      </c>
      <c r="K45">
        <v>9050</v>
      </c>
    </row>
    <row r="46" spans="1:11" x14ac:dyDescent="0.25">
      <c r="A46" s="5">
        <v>1081</v>
      </c>
      <c r="B46">
        <v>47</v>
      </c>
      <c r="J46" s="5">
        <v>1081</v>
      </c>
      <c r="K46">
        <v>16873</v>
      </c>
    </row>
    <row r="47" spans="1:11" x14ac:dyDescent="0.25">
      <c r="A47" s="5">
        <v>1083</v>
      </c>
      <c r="B47">
        <v>16</v>
      </c>
      <c r="J47" s="5">
        <v>1083</v>
      </c>
      <c r="K47">
        <v>4000</v>
      </c>
    </row>
    <row r="48" spans="1:11" x14ac:dyDescent="0.25">
      <c r="A48" s="5">
        <v>1084</v>
      </c>
      <c r="B48">
        <v>25</v>
      </c>
      <c r="J48" s="5">
        <v>1084</v>
      </c>
      <c r="K48">
        <v>3703.5</v>
      </c>
    </row>
    <row r="49" spans="1:11" x14ac:dyDescent="0.25">
      <c r="A49" s="5">
        <v>1087</v>
      </c>
      <c r="B49">
        <v>3</v>
      </c>
      <c r="J49" s="5">
        <v>1087</v>
      </c>
      <c r="K49">
        <v>570</v>
      </c>
    </row>
    <row r="50" spans="1:11" x14ac:dyDescent="0.25">
      <c r="A50" s="5">
        <v>1088</v>
      </c>
      <c r="B50">
        <v>70</v>
      </c>
      <c r="J50" s="5">
        <v>1088</v>
      </c>
      <c r="K50">
        <v>6744</v>
      </c>
    </row>
    <row r="51" spans="1:11" x14ac:dyDescent="0.25">
      <c r="A51" s="5">
        <v>1089</v>
      </c>
      <c r="B51">
        <v>27</v>
      </c>
      <c r="J51" s="5">
        <v>1089</v>
      </c>
      <c r="K51">
        <v>12717</v>
      </c>
    </row>
    <row r="52" spans="1:11" x14ac:dyDescent="0.25">
      <c r="A52" s="5">
        <v>1093</v>
      </c>
      <c r="B52">
        <v>44</v>
      </c>
      <c r="J52" s="5">
        <v>1093</v>
      </c>
      <c r="K52">
        <v>16940</v>
      </c>
    </row>
    <row r="53" spans="1:11" x14ac:dyDescent="0.25">
      <c r="A53" s="5">
        <v>1095</v>
      </c>
      <c r="B53">
        <v>40</v>
      </c>
      <c r="J53" s="5">
        <v>1095</v>
      </c>
      <c r="K53">
        <v>7390</v>
      </c>
    </row>
    <row r="54" spans="1:11" x14ac:dyDescent="0.25">
      <c r="A54" s="5">
        <v>1096</v>
      </c>
      <c r="B54">
        <v>86</v>
      </c>
      <c r="J54" s="5">
        <v>1096</v>
      </c>
      <c r="K54">
        <v>4949</v>
      </c>
    </row>
    <row r="55" spans="1:11" x14ac:dyDescent="0.25">
      <c r="A55" s="5">
        <v>1097</v>
      </c>
      <c r="B55">
        <v>24</v>
      </c>
      <c r="J55" s="5">
        <v>1097</v>
      </c>
      <c r="K55">
        <v>7872</v>
      </c>
    </row>
    <row r="56" spans="1:11" x14ac:dyDescent="0.25">
      <c r="A56" s="5">
        <v>1101</v>
      </c>
      <c r="B56">
        <v>32</v>
      </c>
      <c r="J56" s="5">
        <v>1101</v>
      </c>
      <c r="K56">
        <v>9728</v>
      </c>
    </row>
    <row r="57" spans="1:11" x14ac:dyDescent="0.25">
      <c r="A57" s="5">
        <v>1102</v>
      </c>
      <c r="B57">
        <v>90</v>
      </c>
      <c r="J57" s="5">
        <v>1102</v>
      </c>
      <c r="K57">
        <v>6840</v>
      </c>
    </row>
    <row r="58" spans="1:11" x14ac:dyDescent="0.25">
      <c r="A58" s="5">
        <v>1104</v>
      </c>
      <c r="B58">
        <v>25</v>
      </c>
      <c r="J58" s="5">
        <v>1104</v>
      </c>
      <c r="K58">
        <v>4691.5</v>
      </c>
    </row>
    <row r="59" spans="1:11" x14ac:dyDescent="0.25">
      <c r="A59" s="5">
        <v>1105</v>
      </c>
      <c r="B59">
        <v>52</v>
      </c>
      <c r="J59" s="5">
        <v>1105</v>
      </c>
      <c r="K59">
        <v>3038.6666666666665</v>
      </c>
    </row>
    <row r="60" spans="1:11" x14ac:dyDescent="0.25">
      <c r="A60" s="5">
        <v>1106</v>
      </c>
      <c r="B60">
        <v>1</v>
      </c>
      <c r="J60" s="5">
        <v>1106</v>
      </c>
      <c r="K60">
        <v>396</v>
      </c>
    </row>
    <row r="61" spans="1:11" x14ac:dyDescent="0.25">
      <c r="A61" s="5">
        <v>1107</v>
      </c>
      <c r="B61">
        <v>42</v>
      </c>
      <c r="J61" s="5">
        <v>1107</v>
      </c>
      <c r="K61">
        <v>15246</v>
      </c>
    </row>
    <row r="62" spans="1:11" x14ac:dyDescent="0.25">
      <c r="A62" s="5">
        <v>1108</v>
      </c>
      <c r="B62">
        <v>51</v>
      </c>
      <c r="J62" s="5">
        <v>1108</v>
      </c>
      <c r="K62">
        <v>9478.5</v>
      </c>
    </row>
    <row r="63" spans="1:11" x14ac:dyDescent="0.25">
      <c r="A63" s="5">
        <v>1109</v>
      </c>
      <c r="B63">
        <v>11</v>
      </c>
      <c r="J63" s="5">
        <v>1109</v>
      </c>
      <c r="K63">
        <v>1617</v>
      </c>
    </row>
    <row r="64" spans="1:11" x14ac:dyDescent="0.25">
      <c r="A64" s="5">
        <v>1110</v>
      </c>
      <c r="B64">
        <v>40</v>
      </c>
      <c r="J64" s="5">
        <v>1110</v>
      </c>
      <c r="K64">
        <v>2480</v>
      </c>
    </row>
    <row r="65" spans="1:11" x14ac:dyDescent="0.25">
      <c r="A65" s="5">
        <v>1112</v>
      </c>
      <c r="B65">
        <v>30</v>
      </c>
      <c r="J65" s="5">
        <v>1112</v>
      </c>
      <c r="K65">
        <v>10680</v>
      </c>
    </row>
    <row r="66" spans="1:11" x14ac:dyDescent="0.25">
      <c r="A66" s="5">
        <v>1113</v>
      </c>
      <c r="B66">
        <v>1</v>
      </c>
      <c r="J66" s="5">
        <v>1113</v>
      </c>
      <c r="K66">
        <v>392</v>
      </c>
    </row>
    <row r="67" spans="1:11" x14ac:dyDescent="0.25">
      <c r="A67" s="5">
        <v>1114</v>
      </c>
      <c r="B67">
        <v>46</v>
      </c>
      <c r="J67" s="5">
        <v>1114</v>
      </c>
      <c r="K67">
        <v>14582</v>
      </c>
    </row>
    <row r="68" spans="1:11" x14ac:dyDescent="0.25">
      <c r="A68" s="5">
        <v>1115</v>
      </c>
      <c r="B68">
        <v>38</v>
      </c>
      <c r="J68" s="5">
        <v>1115</v>
      </c>
      <c r="K68">
        <v>6770</v>
      </c>
    </row>
    <row r="69" spans="1:11" x14ac:dyDescent="0.25">
      <c r="A69" s="5">
        <v>1116</v>
      </c>
      <c r="B69">
        <v>70</v>
      </c>
      <c r="J69" s="5">
        <v>1116</v>
      </c>
      <c r="K69">
        <v>4035</v>
      </c>
    </row>
    <row r="70" spans="1:11" x14ac:dyDescent="0.25">
      <c r="A70" s="5">
        <v>1117</v>
      </c>
      <c r="B70">
        <v>56</v>
      </c>
      <c r="J70" s="5">
        <v>1117</v>
      </c>
      <c r="K70">
        <v>3286</v>
      </c>
    </row>
    <row r="71" spans="1:11" x14ac:dyDescent="0.25">
      <c r="A71" s="5">
        <v>1118</v>
      </c>
      <c r="B71">
        <v>1</v>
      </c>
      <c r="J71" s="5">
        <v>1118</v>
      </c>
      <c r="K71">
        <v>168</v>
      </c>
    </row>
    <row r="72" spans="1:11" x14ac:dyDescent="0.25">
      <c r="A72" s="5">
        <v>1120</v>
      </c>
      <c r="B72">
        <v>6</v>
      </c>
      <c r="J72" s="5">
        <v>1120</v>
      </c>
      <c r="K72">
        <v>954</v>
      </c>
    </row>
    <row r="73" spans="1:11" x14ac:dyDescent="0.25">
      <c r="A73" s="5">
        <v>1121</v>
      </c>
      <c r="B73">
        <v>38</v>
      </c>
      <c r="J73" s="5">
        <v>1121</v>
      </c>
      <c r="K73">
        <v>16150</v>
      </c>
    </row>
    <row r="74" spans="1:11" x14ac:dyDescent="0.25">
      <c r="A74" s="5">
        <v>1124</v>
      </c>
      <c r="B74">
        <v>44</v>
      </c>
      <c r="J74" s="5">
        <v>1124</v>
      </c>
      <c r="K74">
        <v>17556</v>
      </c>
    </row>
    <row r="75" spans="1:11" x14ac:dyDescent="0.25">
      <c r="A75" s="5">
        <v>1125</v>
      </c>
      <c r="B75">
        <v>26</v>
      </c>
      <c r="J75" s="5">
        <v>1125</v>
      </c>
      <c r="K75">
        <v>7566</v>
      </c>
    </row>
    <row r="76" spans="1:11" x14ac:dyDescent="0.25">
      <c r="A76" s="5">
        <v>1126</v>
      </c>
      <c r="B76">
        <v>13</v>
      </c>
      <c r="J76" s="5">
        <v>1126</v>
      </c>
      <c r="K76">
        <v>4654</v>
      </c>
    </row>
    <row r="77" spans="1:11" x14ac:dyDescent="0.25">
      <c r="A77" s="5">
        <v>1127</v>
      </c>
      <c r="B77">
        <v>48</v>
      </c>
      <c r="J77" s="5">
        <v>1127</v>
      </c>
      <c r="K77">
        <v>15024</v>
      </c>
    </row>
    <row r="78" spans="1:11" x14ac:dyDescent="0.25">
      <c r="A78" s="5">
        <v>1128</v>
      </c>
      <c r="B78">
        <v>67</v>
      </c>
      <c r="J78" s="5">
        <v>1128</v>
      </c>
      <c r="K78">
        <v>9053</v>
      </c>
    </row>
    <row r="79" spans="1:11" x14ac:dyDescent="0.25">
      <c r="A79" s="5">
        <v>1129</v>
      </c>
      <c r="B79">
        <v>44</v>
      </c>
      <c r="J79" s="5">
        <v>1129</v>
      </c>
      <c r="K79">
        <v>6512</v>
      </c>
    </row>
    <row r="80" spans="1:11" x14ac:dyDescent="0.25">
      <c r="A80" s="5">
        <v>1130</v>
      </c>
      <c r="B80">
        <v>21</v>
      </c>
      <c r="J80" s="5">
        <v>1130</v>
      </c>
      <c r="K80">
        <v>7224</v>
      </c>
    </row>
    <row r="81" spans="1:11" x14ac:dyDescent="0.25">
      <c r="A81" s="5">
        <v>1131</v>
      </c>
      <c r="B81">
        <v>27</v>
      </c>
      <c r="J81" s="5">
        <v>1131</v>
      </c>
      <c r="K81">
        <v>8532</v>
      </c>
    </row>
    <row r="82" spans="1:11" x14ac:dyDescent="0.25">
      <c r="A82" s="5">
        <v>1132</v>
      </c>
      <c r="B82">
        <v>12</v>
      </c>
      <c r="J82" s="5">
        <v>1132</v>
      </c>
      <c r="K82">
        <v>696</v>
      </c>
    </row>
    <row r="83" spans="1:11" x14ac:dyDescent="0.25">
      <c r="A83" s="5">
        <v>1133</v>
      </c>
      <c r="B83">
        <v>39</v>
      </c>
      <c r="J83" s="5">
        <v>1133</v>
      </c>
      <c r="K83">
        <v>4413</v>
      </c>
    </row>
    <row r="84" spans="1:11" x14ac:dyDescent="0.25">
      <c r="A84" s="5">
        <v>1136</v>
      </c>
      <c r="B84">
        <v>21</v>
      </c>
      <c r="J84" s="5">
        <v>1136</v>
      </c>
      <c r="K84">
        <v>1764</v>
      </c>
    </row>
    <row r="85" spans="1:11" x14ac:dyDescent="0.25">
      <c r="A85" s="5">
        <v>1137</v>
      </c>
      <c r="B85">
        <v>25</v>
      </c>
      <c r="J85" s="5">
        <v>1137</v>
      </c>
      <c r="K85">
        <v>7925</v>
      </c>
    </row>
    <row r="86" spans="1:11" x14ac:dyDescent="0.25">
      <c r="A86" s="5">
        <v>1139</v>
      </c>
      <c r="B86">
        <v>26</v>
      </c>
      <c r="J86" s="5">
        <v>1139</v>
      </c>
      <c r="K86">
        <v>11362</v>
      </c>
    </row>
    <row r="87" spans="1:11" x14ac:dyDescent="0.25">
      <c r="A87" s="5">
        <v>1140</v>
      </c>
      <c r="B87">
        <v>75</v>
      </c>
      <c r="J87" s="5">
        <v>1140</v>
      </c>
      <c r="K87">
        <v>6570</v>
      </c>
    </row>
    <row r="88" spans="1:11" x14ac:dyDescent="0.25">
      <c r="A88" s="5">
        <v>1143</v>
      </c>
      <c r="B88">
        <v>22</v>
      </c>
      <c r="J88" s="5">
        <v>1143</v>
      </c>
      <c r="K88">
        <v>7854</v>
      </c>
    </row>
    <row r="89" spans="1:11" x14ac:dyDescent="0.25">
      <c r="A89" s="5">
        <v>1144</v>
      </c>
      <c r="B89">
        <v>18</v>
      </c>
      <c r="J89" s="5">
        <v>1144</v>
      </c>
      <c r="K89">
        <v>7128</v>
      </c>
    </row>
    <row r="90" spans="1:11" x14ac:dyDescent="0.25">
      <c r="A90" s="5">
        <v>1146</v>
      </c>
      <c r="B90">
        <v>39</v>
      </c>
      <c r="J90" s="5">
        <v>1146</v>
      </c>
      <c r="K90">
        <v>3003</v>
      </c>
    </row>
    <row r="91" spans="1:11" x14ac:dyDescent="0.25">
      <c r="A91" s="5">
        <v>1147</v>
      </c>
      <c r="B91">
        <v>68</v>
      </c>
      <c r="J91" s="5">
        <v>1147</v>
      </c>
      <c r="K91">
        <v>7005.666666666667</v>
      </c>
    </row>
    <row r="92" spans="1:11" x14ac:dyDescent="0.25">
      <c r="A92" s="5">
        <v>1149</v>
      </c>
      <c r="B92">
        <v>23</v>
      </c>
      <c r="J92" s="5">
        <v>1149</v>
      </c>
      <c r="K92">
        <v>8050</v>
      </c>
    </row>
    <row r="93" spans="1:11" x14ac:dyDescent="0.25">
      <c r="A93" s="5">
        <v>1150</v>
      </c>
      <c r="B93">
        <v>20</v>
      </c>
      <c r="J93" s="5">
        <v>1150</v>
      </c>
      <c r="K93">
        <v>2982</v>
      </c>
    </row>
    <row r="94" spans="1:11" x14ac:dyDescent="0.25">
      <c r="A94" s="5">
        <v>1152</v>
      </c>
      <c r="B94">
        <v>4</v>
      </c>
      <c r="J94" s="5">
        <v>1152</v>
      </c>
      <c r="K94">
        <v>1144</v>
      </c>
    </row>
    <row r="95" spans="1:11" x14ac:dyDescent="0.25">
      <c r="A95" s="5">
        <v>1154</v>
      </c>
      <c r="B95">
        <v>46</v>
      </c>
      <c r="J95" s="5">
        <v>1154</v>
      </c>
      <c r="K95">
        <v>14996</v>
      </c>
    </row>
    <row r="96" spans="1:11" x14ac:dyDescent="0.25">
      <c r="A96" s="5">
        <v>1155</v>
      </c>
      <c r="B96">
        <v>23</v>
      </c>
      <c r="J96" s="5">
        <v>1155</v>
      </c>
      <c r="K96">
        <v>2829</v>
      </c>
    </row>
    <row r="97" spans="1:11" x14ac:dyDescent="0.25">
      <c r="A97" s="5">
        <v>1156</v>
      </c>
      <c r="B97">
        <v>4</v>
      </c>
      <c r="J97" s="5">
        <v>1156</v>
      </c>
      <c r="K97">
        <v>767</v>
      </c>
    </row>
    <row r="98" spans="1:11" x14ac:dyDescent="0.25">
      <c r="A98" s="5">
        <v>1157</v>
      </c>
      <c r="B98">
        <v>26</v>
      </c>
      <c r="J98" s="5">
        <v>1157</v>
      </c>
      <c r="K98">
        <v>8346</v>
      </c>
    </row>
    <row r="99" spans="1:11" x14ac:dyDescent="0.25">
      <c r="A99" s="5">
        <v>1159</v>
      </c>
      <c r="B99">
        <v>30</v>
      </c>
      <c r="J99" s="5">
        <v>1159</v>
      </c>
      <c r="K99">
        <v>2670</v>
      </c>
    </row>
    <row r="100" spans="1:11" x14ac:dyDescent="0.25">
      <c r="A100" s="5">
        <v>1160</v>
      </c>
      <c r="B100">
        <v>45</v>
      </c>
      <c r="J100" s="5">
        <v>1160</v>
      </c>
      <c r="K100">
        <v>3037.3333333333335</v>
      </c>
    </row>
    <row r="101" spans="1:11" x14ac:dyDescent="0.25">
      <c r="A101" s="5">
        <v>1161</v>
      </c>
      <c r="B101">
        <v>29</v>
      </c>
      <c r="J101" s="5">
        <v>1161</v>
      </c>
      <c r="K101">
        <v>4350</v>
      </c>
    </row>
    <row r="102" spans="1:11" x14ac:dyDescent="0.25">
      <c r="A102" s="5">
        <v>1162</v>
      </c>
      <c r="B102">
        <v>46</v>
      </c>
      <c r="J102" s="5">
        <v>1162</v>
      </c>
      <c r="K102">
        <v>19826</v>
      </c>
    </row>
    <row r="103" spans="1:11" x14ac:dyDescent="0.25">
      <c r="A103" s="5">
        <v>1163</v>
      </c>
      <c r="B103">
        <v>71</v>
      </c>
      <c r="J103" s="5">
        <v>1163</v>
      </c>
      <c r="K103">
        <v>6527</v>
      </c>
    </row>
    <row r="104" spans="1:11" x14ac:dyDescent="0.25">
      <c r="A104" s="5">
        <v>1165</v>
      </c>
      <c r="B104">
        <v>45</v>
      </c>
      <c r="J104" s="5">
        <v>1165</v>
      </c>
      <c r="K104">
        <v>6588</v>
      </c>
    </row>
    <row r="105" spans="1:11" x14ac:dyDescent="0.25">
      <c r="A105" s="5">
        <v>1167</v>
      </c>
      <c r="B105">
        <v>10</v>
      </c>
      <c r="J105" s="5">
        <v>1167</v>
      </c>
      <c r="K105">
        <v>700</v>
      </c>
    </row>
    <row r="106" spans="1:11" x14ac:dyDescent="0.25">
      <c r="A106" s="5">
        <v>1169</v>
      </c>
      <c r="B106">
        <v>9</v>
      </c>
      <c r="J106" s="5">
        <v>1169</v>
      </c>
      <c r="K106">
        <v>1737</v>
      </c>
    </row>
    <row r="107" spans="1:11" x14ac:dyDescent="0.25">
      <c r="A107" s="5">
        <v>1170</v>
      </c>
      <c r="B107">
        <v>27</v>
      </c>
      <c r="J107" s="5">
        <v>1170</v>
      </c>
      <c r="K107">
        <v>4525</v>
      </c>
    </row>
    <row r="108" spans="1:11" x14ac:dyDescent="0.25">
      <c r="A108" s="5">
        <v>1172</v>
      </c>
      <c r="B108">
        <v>72</v>
      </c>
      <c r="J108" s="5">
        <v>1172</v>
      </c>
      <c r="K108">
        <v>14004</v>
      </c>
    </row>
    <row r="109" spans="1:11" x14ac:dyDescent="0.25">
      <c r="A109" s="5">
        <v>1173</v>
      </c>
      <c r="B109">
        <v>22</v>
      </c>
      <c r="J109" s="5">
        <v>1173</v>
      </c>
      <c r="K109">
        <v>2869</v>
      </c>
    </row>
    <row r="110" spans="1:11" x14ac:dyDescent="0.25">
      <c r="A110" s="5">
        <v>1174</v>
      </c>
      <c r="B110">
        <v>65</v>
      </c>
      <c r="J110" s="5">
        <v>1174</v>
      </c>
      <c r="K110">
        <v>3677</v>
      </c>
    </row>
    <row r="111" spans="1:11" x14ac:dyDescent="0.25">
      <c r="A111" s="5">
        <v>1176</v>
      </c>
      <c r="B111">
        <v>46</v>
      </c>
      <c r="J111" s="5">
        <v>1176</v>
      </c>
      <c r="K111">
        <v>4600</v>
      </c>
    </row>
    <row r="112" spans="1:11" x14ac:dyDescent="0.25">
      <c r="A112" s="5">
        <v>1179</v>
      </c>
      <c r="B112">
        <v>36</v>
      </c>
      <c r="J112" s="5">
        <v>1179</v>
      </c>
      <c r="K112">
        <v>17856</v>
      </c>
    </row>
    <row r="113" spans="1:11" x14ac:dyDescent="0.25">
      <c r="A113" s="5">
        <v>1181</v>
      </c>
      <c r="B113">
        <v>39</v>
      </c>
      <c r="J113" s="5">
        <v>1181</v>
      </c>
      <c r="K113">
        <v>10803</v>
      </c>
    </row>
    <row r="114" spans="1:11" x14ac:dyDescent="0.25">
      <c r="A114" s="5">
        <v>1182</v>
      </c>
      <c r="B114">
        <v>96</v>
      </c>
      <c r="J114" s="5">
        <v>1182</v>
      </c>
      <c r="K114">
        <v>5819.333333333333</v>
      </c>
    </row>
    <row r="115" spans="1:11" x14ac:dyDescent="0.25">
      <c r="A115" s="5">
        <v>1183</v>
      </c>
      <c r="B115">
        <v>14</v>
      </c>
      <c r="J115" s="5">
        <v>1183</v>
      </c>
      <c r="K115">
        <v>2730</v>
      </c>
    </row>
    <row r="116" spans="1:11" x14ac:dyDescent="0.25">
      <c r="A116" s="5">
        <v>1185</v>
      </c>
      <c r="B116">
        <v>83</v>
      </c>
      <c r="J116" s="5">
        <v>1185</v>
      </c>
      <c r="K116">
        <v>6338.666666666667</v>
      </c>
    </row>
    <row r="117" spans="1:11" x14ac:dyDescent="0.25">
      <c r="A117" s="5">
        <v>1188</v>
      </c>
      <c r="B117">
        <v>16</v>
      </c>
      <c r="J117" s="5">
        <v>1188</v>
      </c>
      <c r="K117">
        <v>5760</v>
      </c>
    </row>
    <row r="118" spans="1:11" x14ac:dyDescent="0.25">
      <c r="A118" s="5">
        <v>1189</v>
      </c>
      <c r="B118">
        <v>34</v>
      </c>
      <c r="J118" s="5">
        <v>1189</v>
      </c>
      <c r="K118">
        <v>1032</v>
      </c>
    </row>
    <row r="119" spans="1:11" x14ac:dyDescent="0.25">
      <c r="A119" s="5">
        <v>1190</v>
      </c>
      <c r="B119">
        <v>15</v>
      </c>
      <c r="J119" s="5">
        <v>1190</v>
      </c>
      <c r="K119">
        <v>3720</v>
      </c>
    </row>
    <row r="120" spans="1:11" x14ac:dyDescent="0.25">
      <c r="A120" s="5">
        <v>1191</v>
      </c>
      <c r="B120">
        <v>85</v>
      </c>
      <c r="J120" s="5">
        <v>1191</v>
      </c>
      <c r="K120">
        <v>10258.5</v>
      </c>
    </row>
    <row r="121" spans="1:11" x14ac:dyDescent="0.25">
      <c r="A121" s="5">
        <v>1192</v>
      </c>
      <c r="B121">
        <v>44</v>
      </c>
      <c r="J121" s="5">
        <v>1192</v>
      </c>
      <c r="K121">
        <v>3560</v>
      </c>
    </row>
    <row r="122" spans="1:11" x14ac:dyDescent="0.25">
      <c r="A122" s="5">
        <v>1193</v>
      </c>
      <c r="B122">
        <v>63</v>
      </c>
      <c r="J122" s="5">
        <v>1193</v>
      </c>
      <c r="K122">
        <v>11641</v>
      </c>
    </row>
    <row r="123" spans="1:11" x14ac:dyDescent="0.25">
      <c r="A123" s="5">
        <v>1195</v>
      </c>
      <c r="B123">
        <v>75</v>
      </c>
      <c r="J123" s="5">
        <v>1195</v>
      </c>
      <c r="K123">
        <v>9810.6666666666661</v>
      </c>
    </row>
    <row r="124" spans="1:11" x14ac:dyDescent="0.25">
      <c r="A124" s="5">
        <v>1197</v>
      </c>
      <c r="B124">
        <v>50</v>
      </c>
      <c r="J124" s="5">
        <v>1197</v>
      </c>
      <c r="K124">
        <v>14750</v>
      </c>
    </row>
    <row r="125" spans="1:11" x14ac:dyDescent="0.25">
      <c r="A125" s="5">
        <v>1198</v>
      </c>
      <c r="B125">
        <v>18</v>
      </c>
      <c r="J125" s="5">
        <v>1198</v>
      </c>
      <c r="K125">
        <v>1890</v>
      </c>
    </row>
    <row r="126" spans="1:11" x14ac:dyDescent="0.25">
      <c r="A126" s="5">
        <v>1200</v>
      </c>
      <c r="B126">
        <v>44</v>
      </c>
      <c r="J126" s="5">
        <v>1200</v>
      </c>
      <c r="K126">
        <v>10334</v>
      </c>
    </row>
    <row r="127" spans="1:11" x14ac:dyDescent="0.25">
      <c r="A127" s="5">
        <v>1202</v>
      </c>
      <c r="B127">
        <v>59</v>
      </c>
      <c r="J127" s="5">
        <v>1202</v>
      </c>
      <c r="K127">
        <v>7568.5</v>
      </c>
    </row>
    <row r="128" spans="1:11" x14ac:dyDescent="0.25">
      <c r="A128" s="5">
        <v>1204</v>
      </c>
      <c r="B128">
        <v>5</v>
      </c>
      <c r="J128" s="5">
        <v>1204</v>
      </c>
      <c r="K128">
        <v>2355</v>
      </c>
    </row>
    <row r="129" spans="1:11" x14ac:dyDescent="0.25">
      <c r="A129" s="5">
        <v>1205</v>
      </c>
      <c r="B129">
        <v>71</v>
      </c>
      <c r="J129" s="5">
        <v>1205</v>
      </c>
      <c r="K129">
        <v>8776</v>
      </c>
    </row>
    <row r="130" spans="1:11" x14ac:dyDescent="0.25">
      <c r="A130" s="5">
        <v>1207</v>
      </c>
      <c r="B130">
        <v>2</v>
      </c>
      <c r="J130" s="5">
        <v>1207</v>
      </c>
      <c r="K130">
        <v>300</v>
      </c>
    </row>
    <row r="131" spans="1:11" x14ac:dyDescent="0.25">
      <c r="A131" s="5">
        <v>1209</v>
      </c>
      <c r="B131">
        <v>12</v>
      </c>
      <c r="J131" s="5">
        <v>1209</v>
      </c>
      <c r="K131">
        <v>5208</v>
      </c>
    </row>
    <row r="132" spans="1:11" x14ac:dyDescent="0.25">
      <c r="A132" s="5">
        <v>1210</v>
      </c>
      <c r="B132">
        <v>1</v>
      </c>
      <c r="J132" s="5">
        <v>1210</v>
      </c>
      <c r="K132">
        <v>278</v>
      </c>
    </row>
    <row r="133" spans="1:11" x14ac:dyDescent="0.25">
      <c r="A133" s="5">
        <v>1211</v>
      </c>
      <c r="B133">
        <v>39</v>
      </c>
      <c r="J133" s="5">
        <v>1211</v>
      </c>
      <c r="K133">
        <v>7894</v>
      </c>
    </row>
    <row r="134" spans="1:11" x14ac:dyDescent="0.25">
      <c r="A134" s="5">
        <v>1212</v>
      </c>
      <c r="B134">
        <v>57</v>
      </c>
      <c r="J134" s="5">
        <v>1212</v>
      </c>
      <c r="K134">
        <v>5229</v>
      </c>
    </row>
    <row r="135" spans="1:11" x14ac:dyDescent="0.25">
      <c r="A135" s="5">
        <v>1215</v>
      </c>
      <c r="B135">
        <v>44</v>
      </c>
      <c r="J135" s="5">
        <v>1215</v>
      </c>
      <c r="K135">
        <v>15972</v>
      </c>
    </row>
    <row r="136" spans="1:11" x14ac:dyDescent="0.25">
      <c r="A136" s="5">
        <v>1216</v>
      </c>
      <c r="B136">
        <v>24</v>
      </c>
      <c r="J136" s="5">
        <v>1216</v>
      </c>
      <c r="K136">
        <v>9360</v>
      </c>
    </row>
    <row r="137" spans="1:11" x14ac:dyDescent="0.25">
      <c r="A137" s="5">
        <v>1217</v>
      </c>
      <c r="B137">
        <v>25</v>
      </c>
      <c r="J137" s="5">
        <v>1217</v>
      </c>
      <c r="K137">
        <v>3785</v>
      </c>
    </row>
    <row r="138" spans="1:11" x14ac:dyDescent="0.25">
      <c r="A138" s="5">
        <v>1220</v>
      </c>
      <c r="B138">
        <v>123</v>
      </c>
      <c r="J138" s="5">
        <v>1220</v>
      </c>
      <c r="K138">
        <v>5122.666666666667</v>
      </c>
    </row>
    <row r="139" spans="1:11" x14ac:dyDescent="0.25">
      <c r="A139" s="5">
        <v>1222</v>
      </c>
      <c r="B139">
        <v>109</v>
      </c>
      <c r="J139" s="5">
        <v>1222</v>
      </c>
      <c r="K139">
        <v>9042.6</v>
      </c>
    </row>
    <row r="140" spans="1:11" x14ac:dyDescent="0.25">
      <c r="A140" s="5">
        <v>1223</v>
      </c>
      <c r="B140">
        <v>105</v>
      </c>
      <c r="J140" s="5">
        <v>1223</v>
      </c>
      <c r="K140">
        <v>3339</v>
      </c>
    </row>
    <row r="141" spans="1:11" x14ac:dyDescent="0.25">
      <c r="A141" s="5">
        <v>1224</v>
      </c>
      <c r="B141">
        <v>60</v>
      </c>
      <c r="J141" s="5">
        <v>1224</v>
      </c>
      <c r="K141">
        <v>13908.5</v>
      </c>
    </row>
    <row r="142" spans="1:11" x14ac:dyDescent="0.25">
      <c r="A142" s="5">
        <v>1228</v>
      </c>
      <c r="B142">
        <v>14</v>
      </c>
      <c r="J142" s="5">
        <v>1228</v>
      </c>
      <c r="K142">
        <v>3234</v>
      </c>
    </row>
    <row r="143" spans="1:11" x14ac:dyDescent="0.25">
      <c r="A143" s="5">
        <v>1229</v>
      </c>
      <c r="B143">
        <v>69</v>
      </c>
      <c r="J143" s="5">
        <v>1229</v>
      </c>
      <c r="K143">
        <v>2598.5</v>
      </c>
    </row>
    <row r="144" spans="1:11" x14ac:dyDescent="0.25">
      <c r="A144" s="5">
        <v>1231</v>
      </c>
      <c r="B144">
        <v>78</v>
      </c>
      <c r="J144" s="5">
        <v>1231</v>
      </c>
      <c r="K144">
        <v>8893.3333333333339</v>
      </c>
    </row>
    <row r="145" spans="1:11" x14ac:dyDescent="0.25">
      <c r="A145" s="5">
        <v>1232</v>
      </c>
      <c r="B145">
        <v>7</v>
      </c>
      <c r="J145" s="5">
        <v>1232</v>
      </c>
      <c r="K145">
        <v>707</v>
      </c>
    </row>
    <row r="146" spans="1:11" x14ac:dyDescent="0.25">
      <c r="A146" s="5">
        <v>1235</v>
      </c>
      <c r="B146">
        <v>31</v>
      </c>
      <c r="J146" s="5">
        <v>1235</v>
      </c>
      <c r="K146">
        <v>7347</v>
      </c>
    </row>
    <row r="147" spans="1:11" x14ac:dyDescent="0.25">
      <c r="A147" s="5">
        <v>1237</v>
      </c>
      <c r="B147">
        <v>4</v>
      </c>
      <c r="J147" s="5">
        <v>1237</v>
      </c>
      <c r="K147">
        <v>548</v>
      </c>
    </row>
    <row r="148" spans="1:11" x14ac:dyDescent="0.25">
      <c r="A148" s="5">
        <v>1238</v>
      </c>
      <c r="B148">
        <v>42</v>
      </c>
      <c r="J148" s="5">
        <v>1238</v>
      </c>
      <c r="K148">
        <v>15876</v>
      </c>
    </row>
    <row r="149" spans="1:11" x14ac:dyDescent="0.25">
      <c r="A149" s="5">
        <v>1239</v>
      </c>
      <c r="B149">
        <v>71</v>
      </c>
      <c r="J149" s="5">
        <v>1239</v>
      </c>
      <c r="K149">
        <v>6211</v>
      </c>
    </row>
    <row r="150" spans="1:11" x14ac:dyDescent="0.25">
      <c r="A150" s="5">
        <v>1240</v>
      </c>
      <c r="B150">
        <v>74</v>
      </c>
      <c r="J150" s="5">
        <v>1240</v>
      </c>
      <c r="K150">
        <v>12287.5</v>
      </c>
    </row>
    <row r="151" spans="1:11" x14ac:dyDescent="0.25">
      <c r="A151" s="5">
        <v>1241</v>
      </c>
      <c r="B151">
        <v>5</v>
      </c>
      <c r="J151" s="5">
        <v>1241</v>
      </c>
      <c r="K151">
        <v>1795</v>
      </c>
    </row>
    <row r="152" spans="1:11" x14ac:dyDescent="0.25">
      <c r="A152" s="5">
        <v>1242</v>
      </c>
      <c r="B152">
        <v>16</v>
      </c>
      <c r="J152" s="5">
        <v>1242</v>
      </c>
      <c r="K152">
        <v>1333</v>
      </c>
    </row>
    <row r="153" spans="1:11" x14ac:dyDescent="0.25">
      <c r="A153" s="5">
        <v>1244</v>
      </c>
      <c r="B153">
        <v>15</v>
      </c>
      <c r="J153" s="5">
        <v>1244</v>
      </c>
      <c r="K153">
        <v>3900</v>
      </c>
    </row>
    <row r="154" spans="1:11" x14ac:dyDescent="0.25">
      <c r="A154" s="5">
        <v>1245</v>
      </c>
      <c r="B154">
        <v>17</v>
      </c>
      <c r="J154" s="5">
        <v>1245</v>
      </c>
      <c r="K154">
        <v>2745.5</v>
      </c>
    </row>
    <row r="155" spans="1:11" x14ac:dyDescent="0.25">
      <c r="A155" s="5">
        <v>1246</v>
      </c>
      <c r="B155">
        <v>81</v>
      </c>
      <c r="J155" s="5">
        <v>1246</v>
      </c>
      <c r="K155">
        <v>14706</v>
      </c>
    </row>
    <row r="156" spans="1:11" x14ac:dyDescent="0.25">
      <c r="A156" s="5">
        <v>1248</v>
      </c>
      <c r="B156">
        <v>16</v>
      </c>
      <c r="J156" s="5">
        <v>1248</v>
      </c>
      <c r="K156">
        <v>4128</v>
      </c>
    </row>
    <row r="157" spans="1:11" x14ac:dyDescent="0.25">
      <c r="A157" s="5">
        <v>1250</v>
      </c>
      <c r="B157">
        <v>14</v>
      </c>
      <c r="J157" s="5">
        <v>1250</v>
      </c>
      <c r="K157">
        <v>1470</v>
      </c>
    </row>
    <row r="158" spans="1:11" x14ac:dyDescent="0.25">
      <c r="A158" s="5">
        <v>1252</v>
      </c>
      <c r="B158">
        <v>37</v>
      </c>
      <c r="J158" s="5">
        <v>1252</v>
      </c>
      <c r="K158">
        <v>2109</v>
      </c>
    </row>
    <row r="159" spans="1:11" x14ac:dyDescent="0.25">
      <c r="A159" s="5">
        <v>1254</v>
      </c>
      <c r="B159">
        <v>6</v>
      </c>
      <c r="J159" s="5">
        <v>1254</v>
      </c>
      <c r="K159">
        <v>696</v>
      </c>
    </row>
    <row r="160" spans="1:11" x14ac:dyDescent="0.25">
      <c r="A160" s="5">
        <v>1256</v>
      </c>
      <c r="B160">
        <v>43</v>
      </c>
      <c r="J160" s="5">
        <v>1256</v>
      </c>
      <c r="K160">
        <v>4248.666666666667</v>
      </c>
    </row>
    <row r="161" spans="1:11" x14ac:dyDescent="0.25">
      <c r="A161" s="5">
        <v>1257</v>
      </c>
      <c r="B161">
        <v>29</v>
      </c>
      <c r="J161" s="5">
        <v>1257</v>
      </c>
      <c r="K161">
        <v>4417</v>
      </c>
    </row>
    <row r="162" spans="1:11" x14ac:dyDescent="0.25">
      <c r="A162" s="5">
        <v>1258</v>
      </c>
      <c r="B162">
        <v>3</v>
      </c>
      <c r="J162" s="5">
        <v>1258</v>
      </c>
      <c r="K162">
        <v>264</v>
      </c>
    </row>
    <row r="163" spans="1:11" x14ac:dyDescent="0.25">
      <c r="A163" s="5">
        <v>1259</v>
      </c>
      <c r="B163">
        <v>33</v>
      </c>
      <c r="J163" s="5">
        <v>1259</v>
      </c>
      <c r="K163">
        <v>6798</v>
      </c>
    </row>
    <row r="164" spans="1:11" x14ac:dyDescent="0.25">
      <c r="A164" s="5">
        <v>1260</v>
      </c>
      <c r="B164">
        <v>12</v>
      </c>
      <c r="J164" s="5">
        <v>1260</v>
      </c>
      <c r="K164">
        <v>1392</v>
      </c>
    </row>
    <row r="165" spans="1:11" x14ac:dyDescent="0.25">
      <c r="A165" s="5">
        <v>1261</v>
      </c>
      <c r="B165">
        <v>28</v>
      </c>
      <c r="J165" s="5">
        <v>1261</v>
      </c>
      <c r="K165">
        <v>6132</v>
      </c>
    </row>
    <row r="166" spans="1:11" x14ac:dyDescent="0.25">
      <c r="A166" s="5">
        <v>1262</v>
      </c>
      <c r="B166">
        <v>45</v>
      </c>
      <c r="J166" s="5">
        <v>1262</v>
      </c>
      <c r="K166">
        <v>14220</v>
      </c>
    </row>
    <row r="167" spans="1:11" x14ac:dyDescent="0.25">
      <c r="A167" s="5">
        <v>1263</v>
      </c>
      <c r="B167">
        <v>14</v>
      </c>
      <c r="J167" s="5">
        <v>1263</v>
      </c>
      <c r="K167">
        <v>2240</v>
      </c>
    </row>
    <row r="168" spans="1:11" x14ac:dyDescent="0.25">
      <c r="A168" s="5">
        <v>1266</v>
      </c>
      <c r="B168">
        <v>52</v>
      </c>
      <c r="J168" s="5">
        <v>1266</v>
      </c>
      <c r="K168">
        <v>5960</v>
      </c>
    </row>
    <row r="169" spans="1:11" x14ac:dyDescent="0.25">
      <c r="A169" s="5">
        <v>1269</v>
      </c>
      <c r="B169">
        <v>52</v>
      </c>
      <c r="J169" s="5">
        <v>1269</v>
      </c>
      <c r="K169">
        <v>2531</v>
      </c>
    </row>
    <row r="170" spans="1:11" x14ac:dyDescent="0.25">
      <c r="A170" s="5">
        <v>1270</v>
      </c>
      <c r="B170">
        <v>45</v>
      </c>
      <c r="J170" s="5">
        <v>1270</v>
      </c>
      <c r="K170">
        <v>8145</v>
      </c>
    </row>
    <row r="171" spans="1:11" x14ac:dyDescent="0.25">
      <c r="A171" s="5">
        <v>1272</v>
      </c>
      <c r="B171">
        <v>50</v>
      </c>
      <c r="J171" s="5">
        <v>1272</v>
      </c>
      <c r="K171">
        <v>16800</v>
      </c>
    </row>
    <row r="172" spans="1:11" x14ac:dyDescent="0.25">
      <c r="A172" s="5">
        <v>1274</v>
      </c>
      <c r="B172">
        <v>25</v>
      </c>
      <c r="J172" s="5">
        <v>1274</v>
      </c>
      <c r="K172">
        <v>7725</v>
      </c>
    </row>
    <row r="173" spans="1:11" x14ac:dyDescent="0.25">
      <c r="A173" s="5">
        <v>1275</v>
      </c>
      <c r="B173">
        <v>52</v>
      </c>
      <c r="J173" s="5">
        <v>1275</v>
      </c>
      <c r="K173">
        <v>9787</v>
      </c>
    </row>
    <row r="174" spans="1:11" x14ac:dyDescent="0.25">
      <c r="A174" s="5">
        <v>1276</v>
      </c>
      <c r="B174">
        <v>41</v>
      </c>
      <c r="J174" s="5">
        <v>1276</v>
      </c>
      <c r="K174">
        <v>6929</v>
      </c>
    </row>
    <row r="175" spans="1:11" x14ac:dyDescent="0.25">
      <c r="A175" s="5">
        <v>1278</v>
      </c>
      <c r="B175">
        <v>69</v>
      </c>
      <c r="J175" s="5">
        <v>1278</v>
      </c>
      <c r="K175">
        <v>13836</v>
      </c>
    </row>
    <row r="176" spans="1:11" x14ac:dyDescent="0.25">
      <c r="A176" s="5">
        <v>1279</v>
      </c>
      <c r="B176">
        <v>45</v>
      </c>
      <c r="J176" s="5">
        <v>1279</v>
      </c>
      <c r="K176">
        <v>5830</v>
      </c>
    </row>
    <row r="177" spans="1:11" x14ac:dyDescent="0.25">
      <c r="A177" s="5">
        <v>1282</v>
      </c>
      <c r="B177">
        <v>32</v>
      </c>
      <c r="J177" s="5">
        <v>1282</v>
      </c>
      <c r="K177">
        <v>2208</v>
      </c>
    </row>
    <row r="178" spans="1:11" x14ac:dyDescent="0.25">
      <c r="A178" s="5">
        <v>1284</v>
      </c>
      <c r="B178">
        <v>45</v>
      </c>
      <c r="J178" s="5">
        <v>1284</v>
      </c>
      <c r="K178">
        <v>1400.6666666666667</v>
      </c>
    </row>
    <row r="179" spans="1:11" x14ac:dyDescent="0.25">
      <c r="A179" s="5">
        <v>1285</v>
      </c>
      <c r="B179">
        <v>43</v>
      </c>
      <c r="J179" s="5">
        <v>1285</v>
      </c>
      <c r="K179">
        <v>18361</v>
      </c>
    </row>
    <row r="180" spans="1:11" x14ac:dyDescent="0.25">
      <c r="A180" s="5">
        <v>1287</v>
      </c>
      <c r="B180">
        <v>19</v>
      </c>
      <c r="J180" s="5">
        <v>1287</v>
      </c>
      <c r="K180">
        <v>3363</v>
      </c>
    </row>
    <row r="181" spans="1:11" x14ac:dyDescent="0.25">
      <c r="A181" s="5">
        <v>1289</v>
      </c>
      <c r="B181">
        <v>35</v>
      </c>
      <c r="J181" s="5">
        <v>1289</v>
      </c>
      <c r="K181">
        <v>13545</v>
      </c>
    </row>
    <row r="182" spans="1:11" x14ac:dyDescent="0.25">
      <c r="A182" s="5">
        <v>1290</v>
      </c>
      <c r="B182">
        <v>45</v>
      </c>
      <c r="J182" s="5">
        <v>1290</v>
      </c>
      <c r="K182">
        <v>20610</v>
      </c>
    </row>
    <row r="183" spans="1:11" x14ac:dyDescent="0.25">
      <c r="A183" s="5">
        <v>1292</v>
      </c>
      <c r="B183">
        <v>29</v>
      </c>
      <c r="J183" s="5">
        <v>1292</v>
      </c>
      <c r="K183">
        <v>6989</v>
      </c>
    </row>
    <row r="184" spans="1:11" x14ac:dyDescent="0.25">
      <c r="A184" s="5">
        <v>1293</v>
      </c>
      <c r="B184">
        <v>28</v>
      </c>
      <c r="J184" s="5">
        <v>1293</v>
      </c>
      <c r="K184">
        <v>5264</v>
      </c>
    </row>
    <row r="185" spans="1:11" x14ac:dyDescent="0.25">
      <c r="A185" s="5">
        <v>1295</v>
      </c>
      <c r="B185">
        <v>44</v>
      </c>
      <c r="J185" s="5">
        <v>1295</v>
      </c>
      <c r="K185">
        <v>17776</v>
      </c>
    </row>
    <row r="186" spans="1:11" x14ac:dyDescent="0.25">
      <c r="A186" s="5">
        <v>1296</v>
      </c>
      <c r="B186">
        <v>44</v>
      </c>
      <c r="J186" s="5">
        <v>1296</v>
      </c>
      <c r="K186">
        <v>3060</v>
      </c>
    </row>
    <row r="187" spans="1:11" x14ac:dyDescent="0.25">
      <c r="A187" s="5">
        <v>1297</v>
      </c>
      <c r="B187">
        <v>52</v>
      </c>
      <c r="J187" s="5">
        <v>1297</v>
      </c>
      <c r="K187">
        <v>7375</v>
      </c>
    </row>
    <row r="188" spans="1:11" x14ac:dyDescent="0.25">
      <c r="A188" s="5">
        <v>1298</v>
      </c>
      <c r="B188">
        <v>5</v>
      </c>
      <c r="J188" s="5">
        <v>1298</v>
      </c>
      <c r="K188">
        <v>890.5</v>
      </c>
    </row>
    <row r="189" spans="1:11" x14ac:dyDescent="0.25">
      <c r="A189" s="5">
        <v>1300</v>
      </c>
      <c r="B189">
        <v>23</v>
      </c>
      <c r="J189" s="5">
        <v>1300</v>
      </c>
      <c r="K189">
        <v>6302</v>
      </c>
    </row>
    <row r="190" spans="1:11" x14ac:dyDescent="0.25">
      <c r="A190" s="5">
        <v>1301</v>
      </c>
      <c r="B190">
        <v>35</v>
      </c>
      <c r="J190" s="5">
        <v>1301</v>
      </c>
      <c r="K190">
        <v>15330</v>
      </c>
    </row>
    <row r="191" spans="1:11" x14ac:dyDescent="0.25">
      <c r="A191" s="5">
        <v>1302</v>
      </c>
      <c r="B191">
        <v>33</v>
      </c>
      <c r="J191" s="5">
        <v>1302</v>
      </c>
      <c r="K191">
        <v>2211</v>
      </c>
    </row>
    <row r="192" spans="1:11" x14ac:dyDescent="0.25">
      <c r="A192" s="5">
        <v>1303</v>
      </c>
      <c r="B192">
        <v>10</v>
      </c>
      <c r="J192" s="5">
        <v>1303</v>
      </c>
      <c r="K192">
        <v>910</v>
      </c>
    </row>
    <row r="193" spans="1:11" x14ac:dyDescent="0.25">
      <c r="A193" s="5">
        <v>1304</v>
      </c>
      <c r="B193">
        <v>75</v>
      </c>
      <c r="J193" s="5">
        <v>1304</v>
      </c>
      <c r="K193">
        <v>6727.666666666667</v>
      </c>
    </row>
    <row r="194" spans="1:11" x14ac:dyDescent="0.25">
      <c r="A194" s="5">
        <v>1305</v>
      </c>
      <c r="B194">
        <v>71</v>
      </c>
      <c r="J194" s="5">
        <v>1305</v>
      </c>
      <c r="K194">
        <v>4029</v>
      </c>
    </row>
    <row r="195" spans="1:11" x14ac:dyDescent="0.25">
      <c r="A195" s="5">
        <v>1306</v>
      </c>
      <c r="B195">
        <v>46</v>
      </c>
      <c r="J195" s="5">
        <v>1306</v>
      </c>
      <c r="K195">
        <v>9510.5</v>
      </c>
    </row>
    <row r="196" spans="1:11" x14ac:dyDescent="0.25">
      <c r="A196" s="5">
        <v>1307</v>
      </c>
      <c r="B196">
        <v>11</v>
      </c>
      <c r="J196" s="5">
        <v>1307</v>
      </c>
      <c r="K196">
        <v>2794</v>
      </c>
    </row>
    <row r="197" spans="1:11" x14ac:dyDescent="0.25">
      <c r="A197" s="5">
        <v>1308</v>
      </c>
      <c r="B197">
        <v>43</v>
      </c>
      <c r="J197" s="5">
        <v>1308</v>
      </c>
      <c r="K197">
        <v>13330</v>
      </c>
    </row>
    <row r="198" spans="1:11" x14ac:dyDescent="0.25">
      <c r="A198" s="5">
        <v>1309</v>
      </c>
      <c r="B198">
        <v>45</v>
      </c>
      <c r="J198" s="5">
        <v>1309</v>
      </c>
      <c r="K198">
        <v>5773</v>
      </c>
    </row>
    <row r="199" spans="1:11" x14ac:dyDescent="0.25">
      <c r="A199" s="5">
        <v>1310</v>
      </c>
      <c r="B199">
        <v>2</v>
      </c>
      <c r="J199" s="5">
        <v>1310</v>
      </c>
      <c r="K199">
        <v>572</v>
      </c>
    </row>
    <row r="200" spans="1:11" x14ac:dyDescent="0.25">
      <c r="A200" s="5">
        <v>1311</v>
      </c>
      <c r="B200">
        <v>28</v>
      </c>
      <c r="J200" s="5">
        <v>1311</v>
      </c>
      <c r="K200">
        <v>6720</v>
      </c>
    </row>
    <row r="201" spans="1:11" x14ac:dyDescent="0.25">
      <c r="A201" s="5">
        <v>1313</v>
      </c>
      <c r="B201">
        <v>42</v>
      </c>
      <c r="J201" s="5">
        <v>1313</v>
      </c>
      <c r="K201">
        <v>7616</v>
      </c>
    </row>
    <row r="202" spans="1:11" x14ac:dyDescent="0.25">
      <c r="A202" s="5">
        <v>1314</v>
      </c>
      <c r="B202">
        <v>16</v>
      </c>
      <c r="J202" s="5">
        <v>1314</v>
      </c>
      <c r="K202">
        <v>4080</v>
      </c>
    </row>
    <row r="203" spans="1:11" x14ac:dyDescent="0.25">
      <c r="A203" s="5">
        <v>1315</v>
      </c>
      <c r="B203">
        <v>68</v>
      </c>
      <c r="J203" s="5">
        <v>1315</v>
      </c>
      <c r="K203">
        <v>11334</v>
      </c>
    </row>
    <row r="204" spans="1:11" x14ac:dyDescent="0.25">
      <c r="A204" s="5">
        <v>1316</v>
      </c>
      <c r="B204">
        <v>75</v>
      </c>
      <c r="J204" s="5">
        <v>1316</v>
      </c>
      <c r="K204">
        <v>5890</v>
      </c>
    </row>
    <row r="205" spans="1:11" x14ac:dyDescent="0.25">
      <c r="A205" s="5">
        <v>1318</v>
      </c>
      <c r="B205">
        <v>31</v>
      </c>
      <c r="J205" s="5">
        <v>1318</v>
      </c>
      <c r="K205">
        <v>7998</v>
      </c>
    </row>
    <row r="206" spans="1:11" x14ac:dyDescent="0.25">
      <c r="A206" s="5">
        <v>1325</v>
      </c>
      <c r="B206">
        <v>10</v>
      </c>
      <c r="J206" s="5">
        <v>1325</v>
      </c>
      <c r="K206">
        <v>4560</v>
      </c>
    </row>
    <row r="207" spans="1:11" x14ac:dyDescent="0.25">
      <c r="A207" s="5">
        <v>1327</v>
      </c>
      <c r="B207">
        <v>45</v>
      </c>
      <c r="J207" s="5">
        <v>1327</v>
      </c>
      <c r="K207">
        <v>3285</v>
      </c>
    </row>
    <row r="208" spans="1:11" x14ac:dyDescent="0.25">
      <c r="A208" s="5">
        <v>1328</v>
      </c>
      <c r="B208">
        <v>13</v>
      </c>
      <c r="J208" s="5">
        <v>1328</v>
      </c>
      <c r="K208">
        <v>676</v>
      </c>
    </row>
    <row r="209" spans="1:11" x14ac:dyDescent="0.25">
      <c r="A209" s="5">
        <v>1329</v>
      </c>
      <c r="B209">
        <v>29</v>
      </c>
      <c r="J209" s="5">
        <v>1329</v>
      </c>
      <c r="K209">
        <v>7917</v>
      </c>
    </row>
    <row r="210" spans="1:11" x14ac:dyDescent="0.25">
      <c r="A210" s="5">
        <v>1333</v>
      </c>
      <c r="B210">
        <v>3</v>
      </c>
      <c r="J210" s="5">
        <v>1333</v>
      </c>
      <c r="K210">
        <v>1299</v>
      </c>
    </row>
    <row r="211" spans="1:11" x14ac:dyDescent="0.25">
      <c r="A211" s="5">
        <v>1334</v>
      </c>
      <c r="B211">
        <v>46</v>
      </c>
      <c r="J211" s="5">
        <v>1334</v>
      </c>
      <c r="K211">
        <v>18814</v>
      </c>
    </row>
    <row r="212" spans="1:11" x14ac:dyDescent="0.25">
      <c r="A212" s="5">
        <v>1335</v>
      </c>
      <c r="B212">
        <v>45</v>
      </c>
      <c r="J212" s="5">
        <v>1335</v>
      </c>
      <c r="K212">
        <v>3600</v>
      </c>
    </row>
    <row r="213" spans="1:11" x14ac:dyDescent="0.25">
      <c r="A213" s="5">
        <v>1337</v>
      </c>
      <c r="B213">
        <v>18</v>
      </c>
      <c r="J213" s="5">
        <v>1337</v>
      </c>
      <c r="K213">
        <v>6714</v>
      </c>
    </row>
    <row r="214" spans="1:11" x14ac:dyDescent="0.25">
      <c r="A214" s="5">
        <v>1340</v>
      </c>
      <c r="B214">
        <v>47</v>
      </c>
      <c r="J214" s="5">
        <v>1340</v>
      </c>
      <c r="K214">
        <v>8648</v>
      </c>
    </row>
    <row r="215" spans="1:11" x14ac:dyDescent="0.25">
      <c r="A215" s="5">
        <v>1342</v>
      </c>
      <c r="B215">
        <v>38</v>
      </c>
      <c r="J215" s="5">
        <v>1342</v>
      </c>
      <c r="K215">
        <v>2204</v>
      </c>
    </row>
    <row r="216" spans="1:11" x14ac:dyDescent="0.25">
      <c r="A216" s="5">
        <v>1343</v>
      </c>
      <c r="B216">
        <v>4</v>
      </c>
      <c r="J216" s="5">
        <v>1343</v>
      </c>
      <c r="K216">
        <v>1888</v>
      </c>
    </row>
    <row r="217" spans="1:11" x14ac:dyDescent="0.25">
      <c r="A217" s="5">
        <v>1344</v>
      </c>
      <c r="B217">
        <v>32</v>
      </c>
      <c r="J217" s="5">
        <v>1344</v>
      </c>
      <c r="K217">
        <v>4552.5</v>
      </c>
    </row>
    <row r="218" spans="1:11" x14ac:dyDescent="0.25">
      <c r="A218" s="5">
        <v>1347</v>
      </c>
      <c r="B218">
        <v>40</v>
      </c>
      <c r="J218" s="5">
        <v>1347</v>
      </c>
      <c r="K218">
        <v>4970</v>
      </c>
    </row>
    <row r="219" spans="1:11" x14ac:dyDescent="0.25">
      <c r="A219" s="5">
        <v>1348</v>
      </c>
      <c r="B219">
        <v>46</v>
      </c>
      <c r="J219" s="5">
        <v>1348</v>
      </c>
      <c r="K219">
        <v>8907.5</v>
      </c>
    </row>
    <row r="220" spans="1:11" x14ac:dyDescent="0.25">
      <c r="A220" s="5">
        <v>1349</v>
      </c>
      <c r="B220">
        <v>70</v>
      </c>
      <c r="J220" s="5">
        <v>1349</v>
      </c>
      <c r="K220">
        <v>6346</v>
      </c>
    </row>
    <row r="221" spans="1:11" x14ac:dyDescent="0.25">
      <c r="A221" s="5">
        <v>1350</v>
      </c>
      <c r="B221">
        <v>81</v>
      </c>
      <c r="J221" s="5">
        <v>1350</v>
      </c>
      <c r="K221">
        <v>5389.5</v>
      </c>
    </row>
    <row r="222" spans="1:11" x14ac:dyDescent="0.25">
      <c r="A222" s="5">
        <v>1351</v>
      </c>
      <c r="B222">
        <v>33</v>
      </c>
      <c r="J222" s="5">
        <v>1351</v>
      </c>
      <c r="K222">
        <v>4081.5</v>
      </c>
    </row>
    <row r="223" spans="1:11" x14ac:dyDescent="0.25">
      <c r="A223" s="5">
        <v>1353</v>
      </c>
      <c r="B223">
        <v>64</v>
      </c>
      <c r="J223" s="5">
        <v>1353</v>
      </c>
      <c r="K223">
        <v>3633</v>
      </c>
    </row>
    <row r="224" spans="1:11" x14ac:dyDescent="0.25">
      <c r="A224" s="5">
        <v>1354</v>
      </c>
      <c r="B224">
        <v>107</v>
      </c>
      <c r="J224" s="5">
        <v>1354</v>
      </c>
      <c r="K224">
        <v>7319.666666666667</v>
      </c>
    </row>
    <row r="225" spans="1:11" x14ac:dyDescent="0.25">
      <c r="A225" s="5">
        <v>1355</v>
      </c>
      <c r="B225">
        <v>23</v>
      </c>
      <c r="J225" s="5">
        <v>1355</v>
      </c>
      <c r="K225">
        <v>6072</v>
      </c>
    </row>
    <row r="226" spans="1:11" x14ac:dyDescent="0.25">
      <c r="A226" s="5">
        <v>1356</v>
      </c>
      <c r="B226">
        <v>40</v>
      </c>
      <c r="J226" s="5">
        <v>1356</v>
      </c>
      <c r="K226">
        <v>17760</v>
      </c>
    </row>
    <row r="227" spans="1:11" x14ac:dyDescent="0.25">
      <c r="A227" s="5">
        <v>1359</v>
      </c>
      <c r="B227">
        <v>98</v>
      </c>
      <c r="J227" s="5">
        <v>1359</v>
      </c>
      <c r="K227">
        <v>16584</v>
      </c>
    </row>
    <row r="228" spans="1:11" x14ac:dyDescent="0.25">
      <c r="A228" s="5">
        <v>1361</v>
      </c>
      <c r="B228">
        <v>46</v>
      </c>
      <c r="J228" s="5">
        <v>1361</v>
      </c>
      <c r="K228">
        <v>3641</v>
      </c>
    </row>
    <row r="229" spans="1:11" x14ac:dyDescent="0.25">
      <c r="A229" s="5">
        <v>1362</v>
      </c>
      <c r="B229">
        <v>36</v>
      </c>
      <c r="J229" s="5">
        <v>1362</v>
      </c>
      <c r="K229">
        <v>14616</v>
      </c>
    </row>
    <row r="230" spans="1:11" x14ac:dyDescent="0.25">
      <c r="A230" s="5">
        <v>1364</v>
      </c>
      <c r="B230">
        <v>33</v>
      </c>
      <c r="J230" s="5">
        <v>1364</v>
      </c>
      <c r="K230">
        <v>16203</v>
      </c>
    </row>
    <row r="231" spans="1:11" x14ac:dyDescent="0.25">
      <c r="A231" s="5">
        <v>1365</v>
      </c>
      <c r="B231">
        <v>62</v>
      </c>
      <c r="J231" s="5">
        <v>1365</v>
      </c>
      <c r="K231">
        <v>7059.333333333333</v>
      </c>
    </row>
    <row r="232" spans="1:11" x14ac:dyDescent="0.25">
      <c r="A232" s="5">
        <v>1366</v>
      </c>
      <c r="B232">
        <v>2</v>
      </c>
      <c r="J232" s="5">
        <v>1366</v>
      </c>
      <c r="K232">
        <v>712</v>
      </c>
    </row>
    <row r="233" spans="1:11" x14ac:dyDescent="0.25">
      <c r="A233" s="5">
        <v>1368</v>
      </c>
      <c r="B233">
        <v>7</v>
      </c>
      <c r="J233" s="5">
        <v>1368</v>
      </c>
      <c r="K233">
        <v>728</v>
      </c>
    </row>
    <row r="234" spans="1:11" x14ac:dyDescent="0.25">
      <c r="A234" s="5">
        <v>1370</v>
      </c>
      <c r="B234">
        <v>13</v>
      </c>
      <c r="J234" s="5">
        <v>1370</v>
      </c>
      <c r="K234">
        <v>5083</v>
      </c>
    </row>
    <row r="235" spans="1:11" x14ac:dyDescent="0.25">
      <c r="A235" s="5">
        <v>1371</v>
      </c>
      <c r="B235">
        <v>92</v>
      </c>
      <c r="J235" s="5">
        <v>1371</v>
      </c>
      <c r="K235">
        <v>7063.666666666667</v>
      </c>
    </row>
    <row r="236" spans="1:11" x14ac:dyDescent="0.25">
      <c r="A236" s="5">
        <v>1373</v>
      </c>
      <c r="B236">
        <v>5</v>
      </c>
      <c r="J236" s="5">
        <v>1373</v>
      </c>
      <c r="K236">
        <v>1095</v>
      </c>
    </row>
    <row r="237" spans="1:11" x14ac:dyDescent="0.25">
      <c r="A237" s="5">
        <v>1374</v>
      </c>
      <c r="B237">
        <v>51</v>
      </c>
      <c r="J237" s="5">
        <v>1374</v>
      </c>
      <c r="K237">
        <v>7763.5</v>
      </c>
    </row>
    <row r="238" spans="1:11" x14ac:dyDescent="0.25">
      <c r="A238" s="5">
        <v>1376</v>
      </c>
      <c r="B238">
        <v>10</v>
      </c>
      <c r="J238" s="5">
        <v>1376</v>
      </c>
      <c r="K238">
        <v>970</v>
      </c>
    </row>
    <row r="239" spans="1:11" x14ac:dyDescent="0.25">
      <c r="A239" s="5">
        <v>1377</v>
      </c>
      <c r="B239">
        <v>50</v>
      </c>
      <c r="J239" s="5">
        <v>1377</v>
      </c>
      <c r="K239">
        <v>12450</v>
      </c>
    </row>
    <row r="240" spans="1:11" x14ac:dyDescent="0.25">
      <c r="A240" s="5">
        <v>1379</v>
      </c>
      <c r="B240">
        <v>49</v>
      </c>
      <c r="J240" s="5">
        <v>1379</v>
      </c>
      <c r="K240">
        <v>24500</v>
      </c>
    </row>
    <row r="241" spans="1:11" x14ac:dyDescent="0.25">
      <c r="A241" s="5">
        <v>1380</v>
      </c>
      <c r="B241">
        <v>8</v>
      </c>
      <c r="J241" s="5">
        <v>1380</v>
      </c>
      <c r="K241">
        <v>3288</v>
      </c>
    </row>
    <row r="242" spans="1:11" x14ac:dyDescent="0.25">
      <c r="A242" s="5">
        <v>1383</v>
      </c>
      <c r="B242">
        <v>34</v>
      </c>
      <c r="J242" s="5">
        <v>1383</v>
      </c>
      <c r="K242">
        <v>4923.5</v>
      </c>
    </row>
    <row r="243" spans="1:11" x14ac:dyDescent="0.25">
      <c r="A243" s="5">
        <v>1385</v>
      </c>
      <c r="B243">
        <v>67</v>
      </c>
      <c r="J243" s="5">
        <v>1385</v>
      </c>
      <c r="K243">
        <v>10723.5</v>
      </c>
    </row>
    <row r="244" spans="1:11" x14ac:dyDescent="0.25">
      <c r="A244" s="5">
        <v>1387</v>
      </c>
      <c r="B244">
        <v>46</v>
      </c>
      <c r="J244" s="5">
        <v>1387</v>
      </c>
      <c r="K244">
        <v>8326</v>
      </c>
    </row>
    <row r="245" spans="1:11" x14ac:dyDescent="0.25">
      <c r="A245" s="5">
        <v>1389</v>
      </c>
      <c r="B245">
        <v>28</v>
      </c>
      <c r="J245" s="5">
        <v>1389</v>
      </c>
      <c r="K245">
        <v>3098</v>
      </c>
    </row>
    <row r="246" spans="1:11" x14ac:dyDescent="0.25">
      <c r="A246" s="5">
        <v>1390</v>
      </c>
      <c r="B246">
        <v>35</v>
      </c>
      <c r="J246" s="5">
        <v>1390</v>
      </c>
      <c r="K246">
        <v>2065</v>
      </c>
    </row>
    <row r="247" spans="1:11" x14ac:dyDescent="0.25">
      <c r="A247" s="5">
        <v>1391</v>
      </c>
      <c r="B247">
        <v>56</v>
      </c>
      <c r="J247" s="5">
        <v>1391</v>
      </c>
      <c r="K247">
        <v>5874</v>
      </c>
    </row>
    <row r="248" spans="1:11" x14ac:dyDescent="0.25">
      <c r="A248" s="5">
        <v>1393</v>
      </c>
      <c r="B248">
        <v>9</v>
      </c>
      <c r="J248" s="5">
        <v>1393</v>
      </c>
      <c r="K248">
        <v>3816</v>
      </c>
    </row>
    <row r="249" spans="1:11" x14ac:dyDescent="0.25">
      <c r="A249" s="5">
        <v>1394</v>
      </c>
      <c r="B249">
        <v>143</v>
      </c>
      <c r="J249" s="5">
        <v>1394</v>
      </c>
      <c r="K249">
        <v>11325.75</v>
      </c>
    </row>
    <row r="250" spans="1:11" x14ac:dyDescent="0.25">
      <c r="A250" s="5">
        <v>1396</v>
      </c>
      <c r="B250">
        <v>3</v>
      </c>
      <c r="J250" s="5">
        <v>1396</v>
      </c>
      <c r="K250">
        <v>294</v>
      </c>
    </row>
    <row r="251" spans="1:11" x14ac:dyDescent="0.25">
      <c r="A251" s="5">
        <v>1397</v>
      </c>
      <c r="B251">
        <v>31</v>
      </c>
      <c r="J251" s="5">
        <v>1397</v>
      </c>
      <c r="K251">
        <v>2636</v>
      </c>
    </row>
    <row r="252" spans="1:11" x14ac:dyDescent="0.25">
      <c r="A252" s="5">
        <v>1400</v>
      </c>
      <c r="B252">
        <v>65</v>
      </c>
      <c r="J252" s="5">
        <v>1400</v>
      </c>
      <c r="K252">
        <v>12910.5</v>
      </c>
    </row>
    <row r="253" spans="1:11" x14ac:dyDescent="0.25">
      <c r="A253" s="5">
        <v>1402</v>
      </c>
      <c r="B253">
        <v>24</v>
      </c>
      <c r="J253" s="5">
        <v>1402</v>
      </c>
      <c r="K253">
        <v>3416</v>
      </c>
    </row>
    <row r="254" spans="1:11" x14ac:dyDescent="0.25">
      <c r="A254" s="5">
        <v>1403</v>
      </c>
      <c r="B254">
        <v>3</v>
      </c>
      <c r="J254" s="5">
        <v>1403</v>
      </c>
      <c r="K254">
        <v>1500</v>
      </c>
    </row>
    <row r="255" spans="1:11" x14ac:dyDescent="0.25">
      <c r="A255" s="5">
        <v>1404</v>
      </c>
      <c r="B255">
        <v>44</v>
      </c>
      <c r="J255" s="5">
        <v>1404</v>
      </c>
      <c r="K255">
        <v>11616</v>
      </c>
    </row>
    <row r="256" spans="1:11" x14ac:dyDescent="0.25">
      <c r="A256" s="5">
        <v>1406</v>
      </c>
      <c r="B256">
        <v>47</v>
      </c>
      <c r="J256" s="5">
        <v>1406</v>
      </c>
      <c r="K256">
        <v>5729</v>
      </c>
    </row>
    <row r="257" spans="1:11" x14ac:dyDescent="0.25">
      <c r="A257" s="5">
        <v>1407</v>
      </c>
      <c r="B257">
        <v>29</v>
      </c>
      <c r="J257" s="5">
        <v>1407</v>
      </c>
      <c r="K257">
        <v>11339</v>
      </c>
    </row>
    <row r="258" spans="1:11" x14ac:dyDescent="0.25">
      <c r="A258" s="5">
        <v>1409</v>
      </c>
      <c r="B258">
        <v>37</v>
      </c>
      <c r="J258" s="5">
        <v>1409</v>
      </c>
      <c r="K258">
        <v>11137</v>
      </c>
    </row>
    <row r="259" spans="1:11" x14ac:dyDescent="0.25">
      <c r="A259" s="5">
        <v>1412</v>
      </c>
      <c r="B259">
        <v>44</v>
      </c>
      <c r="J259" s="5">
        <v>1412</v>
      </c>
      <c r="K259">
        <v>19140</v>
      </c>
    </row>
    <row r="260" spans="1:11" x14ac:dyDescent="0.25">
      <c r="A260" s="5">
        <v>1413</v>
      </c>
      <c r="B260">
        <v>25</v>
      </c>
      <c r="J260" s="5">
        <v>1413</v>
      </c>
      <c r="K260">
        <v>3325</v>
      </c>
    </row>
    <row r="261" spans="1:11" x14ac:dyDescent="0.25">
      <c r="A261" s="5">
        <v>1414</v>
      </c>
      <c r="B261">
        <v>49</v>
      </c>
      <c r="J261" s="5">
        <v>1414</v>
      </c>
      <c r="K261">
        <v>9800</v>
      </c>
    </row>
    <row r="262" spans="1:11" x14ac:dyDescent="0.25">
      <c r="A262" s="5">
        <v>1415</v>
      </c>
      <c r="B262">
        <v>45</v>
      </c>
      <c r="J262" s="5">
        <v>1415</v>
      </c>
      <c r="K262">
        <v>2901.5</v>
      </c>
    </row>
    <row r="263" spans="1:11" x14ac:dyDescent="0.25">
      <c r="A263" s="5">
        <v>1416</v>
      </c>
      <c r="B263">
        <v>14</v>
      </c>
      <c r="J263" s="5">
        <v>1416</v>
      </c>
      <c r="K263">
        <v>2450</v>
      </c>
    </row>
    <row r="264" spans="1:11" x14ac:dyDescent="0.25">
      <c r="A264" s="5">
        <v>1418</v>
      </c>
      <c r="B264">
        <v>45</v>
      </c>
      <c r="J264" s="5">
        <v>1418</v>
      </c>
      <c r="K264">
        <v>22230</v>
      </c>
    </row>
    <row r="265" spans="1:11" x14ac:dyDescent="0.25">
      <c r="A265" s="5">
        <v>1420</v>
      </c>
      <c r="B265">
        <v>17</v>
      </c>
      <c r="J265" s="5">
        <v>1420</v>
      </c>
      <c r="K265">
        <v>2635</v>
      </c>
    </row>
    <row r="266" spans="1:11" x14ac:dyDescent="0.25">
      <c r="A266" s="5">
        <v>1422</v>
      </c>
      <c r="B266">
        <v>1</v>
      </c>
      <c r="J266" s="5">
        <v>1422</v>
      </c>
      <c r="K266">
        <v>110</v>
      </c>
    </row>
    <row r="267" spans="1:11" x14ac:dyDescent="0.25">
      <c r="A267" s="5">
        <v>1423</v>
      </c>
      <c r="B267">
        <v>30</v>
      </c>
      <c r="J267" s="5">
        <v>1423</v>
      </c>
      <c r="K267">
        <v>4680</v>
      </c>
    </row>
    <row r="268" spans="1:11" x14ac:dyDescent="0.25">
      <c r="A268" s="5">
        <v>1424</v>
      </c>
      <c r="B268">
        <v>20</v>
      </c>
      <c r="J268" s="5">
        <v>1424</v>
      </c>
      <c r="K268">
        <v>1300</v>
      </c>
    </row>
    <row r="269" spans="1:11" x14ac:dyDescent="0.25">
      <c r="A269" s="5">
        <v>1426</v>
      </c>
      <c r="B269">
        <v>6</v>
      </c>
      <c r="J269" s="5">
        <v>1426</v>
      </c>
      <c r="K269">
        <v>618</v>
      </c>
    </row>
    <row r="270" spans="1:11" x14ac:dyDescent="0.25">
      <c r="A270" s="5">
        <v>1427</v>
      </c>
      <c r="B270">
        <v>28</v>
      </c>
      <c r="J270" s="5">
        <v>1427</v>
      </c>
      <c r="K270">
        <v>8792</v>
      </c>
    </row>
    <row r="271" spans="1:11" x14ac:dyDescent="0.25">
      <c r="A271" s="5">
        <v>1428</v>
      </c>
      <c r="B271">
        <v>2</v>
      </c>
      <c r="J271" s="5">
        <v>1428</v>
      </c>
      <c r="K271">
        <v>738</v>
      </c>
    </row>
    <row r="272" spans="1:11" x14ac:dyDescent="0.25">
      <c r="A272" s="5">
        <v>1429</v>
      </c>
      <c r="B272">
        <v>11</v>
      </c>
      <c r="J272" s="5">
        <v>1429</v>
      </c>
      <c r="K272">
        <v>4521</v>
      </c>
    </row>
    <row r="273" spans="1:11" x14ac:dyDescent="0.25">
      <c r="A273" s="5">
        <v>1430</v>
      </c>
      <c r="B273">
        <v>4</v>
      </c>
      <c r="J273" s="5">
        <v>1430</v>
      </c>
      <c r="K273">
        <v>764</v>
      </c>
    </row>
    <row r="274" spans="1:11" x14ac:dyDescent="0.25">
      <c r="A274" s="5">
        <v>1432</v>
      </c>
      <c r="B274">
        <v>38</v>
      </c>
      <c r="J274" s="5">
        <v>1432</v>
      </c>
      <c r="K274">
        <v>4095.5</v>
      </c>
    </row>
    <row r="275" spans="1:11" x14ac:dyDescent="0.25">
      <c r="A275" s="5">
        <v>1433</v>
      </c>
      <c r="B275">
        <v>31</v>
      </c>
      <c r="J275" s="5">
        <v>1433</v>
      </c>
      <c r="K275">
        <v>5270</v>
      </c>
    </row>
    <row r="276" spans="1:11" x14ac:dyDescent="0.25">
      <c r="A276" s="5">
        <v>1434</v>
      </c>
      <c r="B276">
        <v>105</v>
      </c>
      <c r="J276" s="5">
        <v>1434</v>
      </c>
      <c r="K276">
        <v>7882</v>
      </c>
    </row>
    <row r="277" spans="1:11" x14ac:dyDescent="0.25">
      <c r="A277" s="5">
        <v>1437</v>
      </c>
      <c r="B277">
        <v>36</v>
      </c>
      <c r="J277" s="5">
        <v>1437</v>
      </c>
      <c r="K277">
        <v>4464</v>
      </c>
    </row>
    <row r="278" spans="1:11" x14ac:dyDescent="0.25">
      <c r="A278" s="5">
        <v>1438</v>
      </c>
      <c r="B278">
        <v>79</v>
      </c>
      <c r="J278" s="5">
        <v>1438</v>
      </c>
      <c r="K278">
        <v>14021</v>
      </c>
    </row>
    <row r="279" spans="1:11" x14ac:dyDescent="0.25">
      <c r="A279" s="5">
        <v>1439</v>
      </c>
      <c r="B279">
        <v>34</v>
      </c>
      <c r="J279" s="5">
        <v>1439</v>
      </c>
      <c r="K279">
        <v>3672</v>
      </c>
    </row>
    <row r="280" spans="1:11" x14ac:dyDescent="0.25">
      <c r="A280" s="5">
        <v>1441</v>
      </c>
      <c r="B280">
        <v>43</v>
      </c>
      <c r="J280" s="5">
        <v>1441</v>
      </c>
      <c r="K280">
        <v>14921</v>
      </c>
    </row>
    <row r="281" spans="1:11" x14ac:dyDescent="0.25">
      <c r="A281" s="5">
        <v>1443</v>
      </c>
      <c r="B281">
        <v>16</v>
      </c>
      <c r="J281" s="5">
        <v>1443</v>
      </c>
      <c r="K281">
        <v>3200</v>
      </c>
    </row>
    <row r="282" spans="1:11" x14ac:dyDescent="0.25">
      <c r="A282" s="5">
        <v>1444</v>
      </c>
      <c r="B282">
        <v>48</v>
      </c>
      <c r="J282" s="5">
        <v>1444</v>
      </c>
      <c r="K282">
        <v>9732</v>
      </c>
    </row>
    <row r="283" spans="1:11" x14ac:dyDescent="0.25">
      <c r="A283" s="5">
        <v>1446</v>
      </c>
      <c r="B283">
        <v>30</v>
      </c>
      <c r="J283" s="5">
        <v>1446</v>
      </c>
      <c r="K283">
        <v>8640</v>
      </c>
    </row>
    <row r="284" spans="1:11" x14ac:dyDescent="0.25">
      <c r="A284" s="5">
        <v>1447</v>
      </c>
      <c r="B284">
        <v>37</v>
      </c>
      <c r="J284" s="5">
        <v>1447</v>
      </c>
      <c r="K284">
        <v>14430</v>
      </c>
    </row>
    <row r="285" spans="1:11" x14ac:dyDescent="0.25">
      <c r="A285" s="5">
        <v>1448</v>
      </c>
      <c r="B285">
        <v>54</v>
      </c>
      <c r="J285" s="5">
        <v>1448</v>
      </c>
      <c r="K285">
        <v>10504</v>
      </c>
    </row>
    <row r="286" spans="1:11" x14ac:dyDescent="0.25">
      <c r="A286" s="5">
        <v>1449</v>
      </c>
      <c r="B286">
        <v>65</v>
      </c>
      <c r="J286" s="5">
        <v>1449</v>
      </c>
      <c r="K286">
        <v>11942.5</v>
      </c>
    </row>
    <row r="287" spans="1:11" x14ac:dyDescent="0.25">
      <c r="A287" s="5">
        <v>1452</v>
      </c>
      <c r="B287">
        <v>31</v>
      </c>
      <c r="J287" s="5">
        <v>1452</v>
      </c>
      <c r="K287">
        <v>2033.5</v>
      </c>
    </row>
    <row r="288" spans="1:11" x14ac:dyDescent="0.25">
      <c r="A288" s="5">
        <v>1453</v>
      </c>
      <c r="B288">
        <v>33</v>
      </c>
      <c r="J288" s="5">
        <v>1453</v>
      </c>
      <c r="K288">
        <v>11055</v>
      </c>
    </row>
    <row r="289" spans="1:11" x14ac:dyDescent="0.25">
      <c r="A289" s="5">
        <v>1454</v>
      </c>
      <c r="B289">
        <v>26</v>
      </c>
      <c r="J289" s="5">
        <v>1454</v>
      </c>
      <c r="K289">
        <v>2459.5</v>
      </c>
    </row>
    <row r="290" spans="1:11" x14ac:dyDescent="0.25">
      <c r="A290" s="5">
        <v>1455</v>
      </c>
      <c r="B290">
        <v>37</v>
      </c>
      <c r="J290" s="5">
        <v>1455</v>
      </c>
      <c r="K290">
        <v>3959</v>
      </c>
    </row>
    <row r="291" spans="1:11" x14ac:dyDescent="0.25">
      <c r="A291" s="5">
        <v>1456</v>
      </c>
      <c r="B291">
        <v>70</v>
      </c>
      <c r="J291" s="5">
        <v>1456</v>
      </c>
      <c r="K291">
        <v>3137.6666666666665</v>
      </c>
    </row>
    <row r="292" spans="1:11" x14ac:dyDescent="0.25">
      <c r="A292" s="5">
        <v>1458</v>
      </c>
      <c r="B292">
        <v>54</v>
      </c>
      <c r="J292" s="5">
        <v>1458</v>
      </c>
      <c r="K292">
        <v>8945</v>
      </c>
    </row>
    <row r="293" spans="1:11" x14ac:dyDescent="0.25">
      <c r="A293" s="5">
        <v>1459</v>
      </c>
      <c r="B293">
        <v>35</v>
      </c>
      <c r="J293" s="5">
        <v>1459</v>
      </c>
      <c r="K293">
        <v>4130</v>
      </c>
    </row>
    <row r="294" spans="1:11" x14ac:dyDescent="0.25">
      <c r="A294" s="5">
        <v>1460</v>
      </c>
      <c r="B294">
        <v>52</v>
      </c>
      <c r="J294" s="5">
        <v>1460</v>
      </c>
      <c r="K294">
        <v>7539.5</v>
      </c>
    </row>
    <row r="295" spans="1:11" x14ac:dyDescent="0.25">
      <c r="A295" s="5">
        <v>1461</v>
      </c>
      <c r="B295">
        <v>17</v>
      </c>
      <c r="J295" s="5">
        <v>1461</v>
      </c>
      <c r="K295">
        <v>1862</v>
      </c>
    </row>
    <row r="296" spans="1:11" x14ac:dyDescent="0.25">
      <c r="A296" s="5">
        <v>1462</v>
      </c>
      <c r="B296">
        <v>48</v>
      </c>
      <c r="J296" s="5">
        <v>1462</v>
      </c>
      <c r="K296">
        <v>9712</v>
      </c>
    </row>
    <row r="297" spans="1:11" x14ac:dyDescent="0.25">
      <c r="A297" s="5">
        <v>1463</v>
      </c>
      <c r="B297">
        <v>93</v>
      </c>
      <c r="J297" s="5">
        <v>1463</v>
      </c>
      <c r="K297">
        <v>15652.5</v>
      </c>
    </row>
    <row r="298" spans="1:11" x14ac:dyDescent="0.25">
      <c r="A298" s="5">
        <v>1464</v>
      </c>
      <c r="B298">
        <v>48</v>
      </c>
      <c r="J298" s="5">
        <v>1464</v>
      </c>
      <c r="K298">
        <v>2268</v>
      </c>
    </row>
    <row r="299" spans="1:11" x14ac:dyDescent="0.25">
      <c r="A299" s="5">
        <v>1466</v>
      </c>
      <c r="B299">
        <v>26</v>
      </c>
      <c r="J299" s="5">
        <v>1466</v>
      </c>
      <c r="K299">
        <v>7592</v>
      </c>
    </row>
    <row r="300" spans="1:11" x14ac:dyDescent="0.25">
      <c r="A300" s="5">
        <v>1467</v>
      </c>
      <c r="B300">
        <v>24</v>
      </c>
      <c r="J300" s="5">
        <v>1467</v>
      </c>
      <c r="K300">
        <v>1272</v>
      </c>
    </row>
    <row r="301" spans="1:11" x14ac:dyDescent="0.25">
      <c r="A301" s="5">
        <v>1468</v>
      </c>
      <c r="B301">
        <v>67</v>
      </c>
      <c r="J301" s="5">
        <v>1468</v>
      </c>
      <c r="K301">
        <v>2410.5</v>
      </c>
    </row>
    <row r="302" spans="1:11" x14ac:dyDescent="0.25">
      <c r="A302" s="5">
        <v>1472</v>
      </c>
      <c r="B302">
        <v>28</v>
      </c>
      <c r="J302" s="5">
        <v>1472</v>
      </c>
      <c r="K302">
        <v>2310</v>
      </c>
    </row>
    <row r="303" spans="1:11" x14ac:dyDescent="0.25">
      <c r="A303" s="5">
        <v>1473</v>
      </c>
      <c r="B303">
        <v>17</v>
      </c>
      <c r="J303" s="5">
        <v>1473</v>
      </c>
      <c r="K303">
        <v>5729</v>
      </c>
    </row>
    <row r="304" spans="1:11" x14ac:dyDescent="0.25">
      <c r="A304" s="5">
        <v>1474</v>
      </c>
      <c r="B304">
        <v>28</v>
      </c>
      <c r="J304" s="5">
        <v>1474</v>
      </c>
      <c r="K304">
        <v>4881</v>
      </c>
    </row>
    <row r="305" spans="1:11" x14ac:dyDescent="0.25">
      <c r="A305" s="5">
        <v>1477</v>
      </c>
      <c r="B305">
        <v>79</v>
      </c>
      <c r="J305" s="5">
        <v>1477</v>
      </c>
      <c r="K305">
        <v>2909</v>
      </c>
    </row>
    <row r="306" spans="1:11" x14ac:dyDescent="0.25">
      <c r="A306" s="5">
        <v>1478</v>
      </c>
      <c r="B306">
        <v>23</v>
      </c>
      <c r="J306" s="5">
        <v>1478</v>
      </c>
      <c r="K306">
        <v>5934</v>
      </c>
    </row>
    <row r="307" spans="1:11" x14ac:dyDescent="0.25">
      <c r="A307" s="5">
        <v>1480</v>
      </c>
      <c r="B307">
        <v>23</v>
      </c>
      <c r="J307" s="5">
        <v>1480</v>
      </c>
      <c r="K307">
        <v>6693</v>
      </c>
    </row>
    <row r="308" spans="1:11" x14ac:dyDescent="0.25">
      <c r="A308" s="5">
        <v>1482</v>
      </c>
      <c r="B308">
        <v>20</v>
      </c>
      <c r="J308" s="5">
        <v>1482</v>
      </c>
      <c r="K308">
        <v>3860</v>
      </c>
    </row>
    <row r="309" spans="1:11" x14ac:dyDescent="0.25">
      <c r="A309" s="5">
        <v>1484</v>
      </c>
      <c r="B309">
        <v>51</v>
      </c>
      <c r="J309" s="5">
        <v>1484</v>
      </c>
      <c r="K309">
        <v>9937.5</v>
      </c>
    </row>
    <row r="310" spans="1:11" x14ac:dyDescent="0.25">
      <c r="A310" s="5">
        <v>1485</v>
      </c>
      <c r="B310">
        <v>51</v>
      </c>
      <c r="J310" s="5">
        <v>1485</v>
      </c>
      <c r="K310">
        <v>4007.5</v>
      </c>
    </row>
    <row r="311" spans="1:11" x14ac:dyDescent="0.25">
      <c r="A311" s="5">
        <v>1486</v>
      </c>
      <c r="B311">
        <v>8</v>
      </c>
      <c r="J311" s="5">
        <v>1486</v>
      </c>
      <c r="K311">
        <v>3416</v>
      </c>
    </row>
    <row r="312" spans="1:11" x14ac:dyDescent="0.25">
      <c r="A312" s="5">
        <v>1488</v>
      </c>
      <c r="B312">
        <v>114</v>
      </c>
      <c r="J312" s="5">
        <v>1488</v>
      </c>
      <c r="K312">
        <v>3228</v>
      </c>
    </row>
    <row r="313" spans="1:11" x14ac:dyDescent="0.25">
      <c r="A313" s="5">
        <v>1489</v>
      </c>
      <c r="B313">
        <v>20</v>
      </c>
      <c r="J313" s="5">
        <v>1489</v>
      </c>
      <c r="K313">
        <v>8220</v>
      </c>
    </row>
    <row r="314" spans="1:11" x14ac:dyDescent="0.25">
      <c r="A314" s="5">
        <v>1490</v>
      </c>
      <c r="B314">
        <v>34</v>
      </c>
      <c r="J314" s="5">
        <v>1490</v>
      </c>
      <c r="K314">
        <v>13226</v>
      </c>
    </row>
    <row r="315" spans="1:11" x14ac:dyDescent="0.25">
      <c r="A315" s="5">
        <v>1491</v>
      </c>
      <c r="B315">
        <v>21</v>
      </c>
      <c r="J315" s="5">
        <v>1491</v>
      </c>
      <c r="K315">
        <v>5565</v>
      </c>
    </row>
    <row r="316" spans="1:11" x14ac:dyDescent="0.25">
      <c r="A316" s="5">
        <v>1492</v>
      </c>
      <c r="B316">
        <v>41</v>
      </c>
      <c r="J316" s="5">
        <v>1492</v>
      </c>
      <c r="K316">
        <v>4690.5</v>
      </c>
    </row>
    <row r="317" spans="1:11" x14ac:dyDescent="0.25">
      <c r="A317" s="5">
        <v>1493</v>
      </c>
      <c r="B317">
        <v>86</v>
      </c>
      <c r="J317" s="5">
        <v>1493</v>
      </c>
      <c r="K317">
        <v>9102</v>
      </c>
    </row>
    <row r="318" spans="1:11" x14ac:dyDescent="0.25">
      <c r="A318" s="5">
        <v>1494</v>
      </c>
      <c r="B318">
        <v>23</v>
      </c>
      <c r="J318" s="5">
        <v>1494</v>
      </c>
      <c r="K318">
        <v>1110</v>
      </c>
    </row>
    <row r="319" spans="1:11" x14ac:dyDescent="0.25">
      <c r="A319" s="5">
        <v>1496</v>
      </c>
      <c r="B319">
        <v>87</v>
      </c>
      <c r="J319" s="5">
        <v>1496</v>
      </c>
      <c r="K319">
        <v>6222.5</v>
      </c>
    </row>
    <row r="320" spans="1:11" x14ac:dyDescent="0.25">
      <c r="A320" s="5">
        <v>1497</v>
      </c>
      <c r="B320">
        <v>54</v>
      </c>
      <c r="J320" s="5">
        <v>1497</v>
      </c>
      <c r="K320">
        <v>6114</v>
      </c>
    </row>
    <row r="321" spans="1:11" x14ac:dyDescent="0.25">
      <c r="A321" s="5">
        <v>1498</v>
      </c>
      <c r="B321">
        <v>3</v>
      </c>
      <c r="J321" s="5">
        <v>1498</v>
      </c>
      <c r="K321">
        <v>669</v>
      </c>
    </row>
    <row r="322" spans="1:11" x14ac:dyDescent="0.25">
      <c r="A322" s="5">
        <v>1499</v>
      </c>
      <c r="B322">
        <v>76</v>
      </c>
      <c r="J322" s="5">
        <v>1499</v>
      </c>
      <c r="K322">
        <v>8053.5</v>
      </c>
    </row>
    <row r="323" spans="1:11" x14ac:dyDescent="0.25">
      <c r="A323" s="5">
        <v>1500</v>
      </c>
      <c r="B323">
        <v>22</v>
      </c>
      <c r="J323" s="5">
        <v>1500</v>
      </c>
      <c r="K323">
        <v>3649</v>
      </c>
    </row>
    <row r="324" spans="1:11" x14ac:dyDescent="0.25">
      <c r="A324" s="5" t="s">
        <v>75</v>
      </c>
      <c r="B324">
        <v>12689</v>
      </c>
      <c r="J324" s="5" t="s">
        <v>75</v>
      </c>
      <c r="K324">
        <v>6671.6719999999996</v>
      </c>
    </row>
    <row r="326" spans="1:11" ht="15.6" x14ac:dyDescent="0.3">
      <c r="B326" s="17">
        <f>GETPIVOTDATA("Units_Sold",$A$3)</f>
        <v>12689</v>
      </c>
      <c r="K326" s="21">
        <f>GETPIVOTDATA("maximum revenue",$J$3)</f>
        <v>6671.6719999999996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7211-9C83-4EBC-8A19-C4BAEA345675}">
  <dimension ref="A3:L15"/>
  <sheetViews>
    <sheetView topLeftCell="A4" workbookViewId="0">
      <selection activeCell="H9" sqref="H9:I9"/>
      <pivotSelection pane="bottomRight" showHeader="1" extendable="1" start="4" max="11" activeRow="8" activeCol="7" click="1" r:id="rId1">
        <pivotArea dataOnly="0" fieldPosition="0">
          <references count="1">
            <reference field="7" count="1">
              <x v="3"/>
            </reference>
          </references>
        </pivotArea>
      </pivotSelection>
    </sheetView>
  </sheetViews>
  <sheetFormatPr defaultRowHeight="13.2" x14ac:dyDescent="0.25"/>
  <cols>
    <col min="1" max="1" width="13.33203125" bestFit="1" customWidth="1"/>
    <col min="2" max="2" width="23.77734375" bestFit="1" customWidth="1"/>
    <col min="8" max="8" width="11.33203125" bestFit="1" customWidth="1"/>
    <col min="9" max="9" width="23.77734375" bestFit="1" customWidth="1"/>
  </cols>
  <sheetData>
    <row r="3" spans="1:12" x14ac:dyDescent="0.25">
      <c r="A3" s="14" t="s">
        <v>74</v>
      </c>
      <c r="B3" t="s">
        <v>76</v>
      </c>
    </row>
    <row r="4" spans="1:12" x14ac:dyDescent="0.25">
      <c r="A4" s="5" t="s">
        <v>12</v>
      </c>
      <c r="B4">
        <v>838135</v>
      </c>
      <c r="I4" t="s">
        <v>76</v>
      </c>
    </row>
    <row r="5" spans="1:12" x14ac:dyDescent="0.25">
      <c r="A5" s="5" t="s">
        <v>14</v>
      </c>
      <c r="B5">
        <v>728345</v>
      </c>
      <c r="H5" s="5" t="s">
        <v>31</v>
      </c>
      <c r="I5">
        <v>469597</v>
      </c>
      <c r="K5" s="5" t="s">
        <v>31</v>
      </c>
      <c r="L5">
        <v>469597</v>
      </c>
    </row>
    <row r="6" spans="1:12" x14ac:dyDescent="0.25">
      <c r="A6" s="5" t="s">
        <v>7</v>
      </c>
      <c r="B6">
        <v>654053</v>
      </c>
      <c r="H6" s="5" t="s">
        <v>35</v>
      </c>
      <c r="I6">
        <v>398092</v>
      </c>
      <c r="K6" s="5" t="s">
        <v>35</v>
      </c>
      <c r="L6">
        <v>398092</v>
      </c>
    </row>
    <row r="7" spans="1:12" x14ac:dyDescent="0.25">
      <c r="A7" s="5" t="s">
        <v>9</v>
      </c>
      <c r="B7">
        <v>625442</v>
      </c>
      <c r="H7" s="5" t="s">
        <v>26</v>
      </c>
      <c r="I7">
        <v>390691</v>
      </c>
      <c r="K7" s="5" t="s">
        <v>26</v>
      </c>
      <c r="L7">
        <v>390691</v>
      </c>
    </row>
    <row r="8" spans="1:12" x14ac:dyDescent="0.25">
      <c r="A8" s="5" t="s">
        <v>25</v>
      </c>
      <c r="B8">
        <v>489861</v>
      </c>
      <c r="H8" s="5" t="s">
        <v>19</v>
      </c>
      <c r="I8">
        <v>386395</v>
      </c>
      <c r="K8" s="5" t="s">
        <v>19</v>
      </c>
      <c r="L8">
        <v>386395</v>
      </c>
    </row>
    <row r="9" spans="1:12" x14ac:dyDescent="0.25">
      <c r="A9" s="5" t="s">
        <v>75</v>
      </c>
      <c r="B9">
        <v>3335836</v>
      </c>
      <c r="H9" s="5" t="s">
        <v>30</v>
      </c>
      <c r="I9">
        <v>343544</v>
      </c>
      <c r="K9" s="5" t="s">
        <v>30</v>
      </c>
      <c r="L9">
        <v>343544</v>
      </c>
    </row>
    <row r="10" spans="1:12" x14ac:dyDescent="0.25">
      <c r="H10" s="5" t="s">
        <v>22</v>
      </c>
      <c r="I10">
        <v>334006</v>
      </c>
      <c r="K10" s="5" t="s">
        <v>22</v>
      </c>
      <c r="L10">
        <v>334006</v>
      </c>
    </row>
    <row r="11" spans="1:12" x14ac:dyDescent="0.25">
      <c r="H11" s="5" t="s">
        <v>32</v>
      </c>
      <c r="I11">
        <v>291417</v>
      </c>
      <c r="K11" s="5" t="s">
        <v>32</v>
      </c>
      <c r="L11">
        <v>291417</v>
      </c>
    </row>
    <row r="12" spans="1:12" x14ac:dyDescent="0.25">
      <c r="H12" s="5" t="s">
        <v>15</v>
      </c>
      <c r="I12">
        <v>271419</v>
      </c>
      <c r="K12" s="5" t="s">
        <v>15</v>
      </c>
      <c r="L12">
        <v>271419</v>
      </c>
    </row>
    <row r="13" spans="1:12" x14ac:dyDescent="0.25">
      <c r="H13" s="5" t="s">
        <v>36</v>
      </c>
      <c r="I13">
        <v>266832</v>
      </c>
      <c r="K13" s="5" t="s">
        <v>36</v>
      </c>
      <c r="L13">
        <v>266832</v>
      </c>
    </row>
    <row r="14" spans="1:12" x14ac:dyDescent="0.25">
      <c r="H14" s="5" t="s">
        <v>34</v>
      </c>
      <c r="I14">
        <v>183843</v>
      </c>
      <c r="K14" s="5" t="s">
        <v>34</v>
      </c>
      <c r="L14">
        <v>183843</v>
      </c>
    </row>
    <row r="15" spans="1:12" x14ac:dyDescent="0.25">
      <c r="H15" s="5" t="s">
        <v>75</v>
      </c>
      <c r="I15">
        <v>3335836</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5C0E-7EC2-4050-8370-D0327CD042F3}">
  <dimension ref="G6:N27"/>
  <sheetViews>
    <sheetView showGridLines="0" topLeftCell="A3" workbookViewId="0">
      <selection activeCell="E22" sqref="E22"/>
    </sheetView>
  </sheetViews>
  <sheetFormatPr defaultRowHeight="13.2" x14ac:dyDescent="0.25"/>
  <cols>
    <col min="7" max="7" width="72.33203125" bestFit="1" customWidth="1"/>
    <col min="13" max="13" width="10.21875" bestFit="1" customWidth="1"/>
  </cols>
  <sheetData>
    <row r="6" spans="7:14" x14ac:dyDescent="0.25">
      <c r="M6" s="4" t="s">
        <v>50</v>
      </c>
      <c r="N6">
        <v>625442</v>
      </c>
    </row>
    <row r="7" spans="7:14" ht="17.399999999999999" x14ac:dyDescent="0.3">
      <c r="G7" s="4" t="s">
        <v>72</v>
      </c>
      <c r="M7" s="4" t="s">
        <v>49</v>
      </c>
      <c r="N7">
        <v>489861</v>
      </c>
    </row>
    <row r="8" spans="7:14" x14ac:dyDescent="0.25">
      <c r="H8" s="7"/>
      <c r="M8" s="4" t="s">
        <v>51</v>
      </c>
      <c r="N8">
        <v>728177</v>
      </c>
    </row>
    <row r="9" spans="7:14" x14ac:dyDescent="0.25">
      <c r="G9" s="6" t="s">
        <v>66</v>
      </c>
      <c r="H9" s="7" t="s">
        <v>48</v>
      </c>
      <c r="J9" s="4"/>
      <c r="M9" s="4" t="s">
        <v>52</v>
      </c>
      <c r="N9">
        <v>629138</v>
      </c>
    </row>
    <row r="10" spans="7:14" x14ac:dyDescent="0.25">
      <c r="G10" s="5"/>
      <c r="H10" s="7"/>
    </row>
    <row r="11" spans="7:14" x14ac:dyDescent="0.25">
      <c r="G11" s="6" t="s">
        <v>58</v>
      </c>
      <c r="H11" s="7" t="s">
        <v>67</v>
      </c>
    </row>
    <row r="12" spans="7:14" x14ac:dyDescent="0.25">
      <c r="G12" s="5"/>
      <c r="H12" s="7"/>
    </row>
    <row r="13" spans="7:14" x14ac:dyDescent="0.25">
      <c r="G13" s="6" t="s">
        <v>59</v>
      </c>
      <c r="H13" s="7" t="s">
        <v>53</v>
      </c>
    </row>
    <row r="14" spans="7:14" x14ac:dyDescent="0.25">
      <c r="G14" s="5"/>
      <c r="H14" s="7"/>
    </row>
    <row r="15" spans="7:14" x14ac:dyDescent="0.25">
      <c r="G15" s="6" t="s">
        <v>65</v>
      </c>
      <c r="H15" s="7" t="s">
        <v>54</v>
      </c>
    </row>
    <row r="16" spans="7:14" x14ac:dyDescent="0.25">
      <c r="G16" s="5"/>
      <c r="H16" s="7"/>
    </row>
    <row r="17" spans="7:8" x14ac:dyDescent="0.25">
      <c r="G17" s="6" t="s">
        <v>60</v>
      </c>
      <c r="H17" s="7" t="s">
        <v>55</v>
      </c>
    </row>
    <row r="18" spans="7:8" x14ac:dyDescent="0.25">
      <c r="G18" s="5"/>
      <c r="H18" s="7"/>
    </row>
    <row r="19" spans="7:8" x14ac:dyDescent="0.25">
      <c r="G19" s="6" t="s">
        <v>56</v>
      </c>
      <c r="H19" s="7" t="s">
        <v>57</v>
      </c>
    </row>
    <row r="20" spans="7:8" x14ac:dyDescent="0.25">
      <c r="G20" s="5"/>
      <c r="H20" s="7"/>
    </row>
    <row r="21" spans="7:8" x14ac:dyDescent="0.25">
      <c r="G21" s="6" t="s">
        <v>61</v>
      </c>
      <c r="H21" s="7" t="s">
        <v>64</v>
      </c>
    </row>
    <row r="22" spans="7:8" x14ac:dyDescent="0.25">
      <c r="G22" s="5"/>
      <c r="H22" s="7"/>
    </row>
    <row r="23" spans="7:8" x14ac:dyDescent="0.25">
      <c r="G23" s="6" t="s">
        <v>62</v>
      </c>
      <c r="H23" s="7" t="s">
        <v>63</v>
      </c>
    </row>
    <row r="24" spans="7:8" x14ac:dyDescent="0.25">
      <c r="G24" s="5"/>
      <c r="H24" s="7"/>
    </row>
    <row r="25" spans="7:8" x14ac:dyDescent="0.25">
      <c r="G25" s="6" t="s">
        <v>69</v>
      </c>
      <c r="H25" s="7" t="s">
        <v>70</v>
      </c>
    </row>
    <row r="26" spans="7:8" x14ac:dyDescent="0.25">
      <c r="G26" s="5"/>
      <c r="H26" s="7"/>
    </row>
    <row r="27" spans="7:8" x14ac:dyDescent="0.25">
      <c r="G27" s="6" t="s">
        <v>71</v>
      </c>
      <c r="H27" s="7" t="s">
        <v>68</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B148-9D5C-435A-A443-EFF0C2751F10}">
  <dimension ref="A3:F10"/>
  <sheetViews>
    <sheetView workbookViewId="0">
      <selection activeCell="I16" sqref="I16"/>
    </sheetView>
  </sheetViews>
  <sheetFormatPr defaultRowHeight="13.2" x14ac:dyDescent="0.25"/>
  <cols>
    <col min="1" max="1" width="13.33203125" bestFit="1" customWidth="1"/>
    <col min="2" max="2" width="23.77734375" bestFit="1" customWidth="1"/>
    <col min="5" max="5" width="13.33203125" bestFit="1" customWidth="1"/>
    <col min="6" max="7" width="17.33203125" bestFit="1" customWidth="1"/>
  </cols>
  <sheetData>
    <row r="3" spans="1:6" x14ac:dyDescent="0.25">
      <c r="A3" s="14" t="s">
        <v>74</v>
      </c>
      <c r="B3" t="s">
        <v>76</v>
      </c>
    </row>
    <row r="4" spans="1:6" x14ac:dyDescent="0.25">
      <c r="A4" s="5" t="s">
        <v>33</v>
      </c>
      <c r="B4">
        <v>822892</v>
      </c>
      <c r="E4" s="14" t="s">
        <v>74</v>
      </c>
      <c r="F4" t="s">
        <v>80</v>
      </c>
    </row>
    <row r="5" spans="1:6" x14ac:dyDescent="0.25">
      <c r="A5" s="5" t="s">
        <v>20</v>
      </c>
      <c r="B5">
        <v>731775</v>
      </c>
      <c r="E5" s="5" t="s">
        <v>20</v>
      </c>
      <c r="F5" s="15">
        <v>0.21325557569548428</v>
      </c>
    </row>
    <row r="6" spans="1:6" x14ac:dyDescent="0.25">
      <c r="A6" s="5" t="s">
        <v>28</v>
      </c>
      <c r="B6">
        <v>656432</v>
      </c>
      <c r="E6" s="5" t="s">
        <v>16</v>
      </c>
      <c r="F6" s="15">
        <v>0.1501300338876192</v>
      </c>
    </row>
    <row r="7" spans="1:6" x14ac:dyDescent="0.25">
      <c r="A7" s="5" t="s">
        <v>27</v>
      </c>
      <c r="B7">
        <v>633094</v>
      </c>
      <c r="E7" s="5" t="s">
        <v>33</v>
      </c>
      <c r="F7" s="15">
        <v>0.24998029789581527</v>
      </c>
    </row>
    <row r="8" spans="1:6" x14ac:dyDescent="0.25">
      <c r="A8" s="5" t="s">
        <v>16</v>
      </c>
      <c r="B8">
        <v>491643</v>
      </c>
      <c r="E8" s="5" t="s">
        <v>27</v>
      </c>
      <c r="F8" s="15">
        <v>0.18322956891796044</v>
      </c>
    </row>
    <row r="9" spans="1:6" x14ac:dyDescent="0.25">
      <c r="A9" s="5" t="s">
        <v>75</v>
      </c>
      <c r="B9">
        <v>3335836</v>
      </c>
      <c r="E9" s="5" t="s">
        <v>28</v>
      </c>
      <c r="F9" s="15">
        <v>0.20340452360312081</v>
      </c>
    </row>
    <row r="10" spans="1:6" x14ac:dyDescent="0.25">
      <c r="E10" s="5" t="s">
        <v>75</v>
      </c>
      <c r="F10" s="15">
        <v>1</v>
      </c>
    </row>
  </sheetData>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showGridLines="0" workbookViewId="0">
      <selection sqref="A1:J501"/>
    </sheetView>
  </sheetViews>
  <sheetFormatPr defaultColWidth="12.6640625" defaultRowHeight="15.75" customHeight="1" x14ac:dyDescent="0.25"/>
  <cols>
    <col min="1" max="1" width="11.88671875" style="9" bestFit="1" customWidth="1"/>
    <col min="2" max="2" width="12.33203125" style="9" bestFit="1" customWidth="1"/>
    <col min="3" max="3" width="17.6640625" style="9" bestFit="1" customWidth="1"/>
    <col min="4" max="4" width="14" style="9" bestFit="1" customWidth="1"/>
    <col min="5" max="5" width="17.6640625" style="9" bestFit="1" customWidth="1"/>
    <col min="6" max="6" width="20.109375" style="9" bestFit="1" customWidth="1"/>
    <col min="7" max="7" width="11.6640625" style="9" bestFit="1" customWidth="1"/>
    <col min="8" max="8" width="14.21875" style="9" bestFit="1" customWidth="1"/>
    <col min="9" max="9" width="12.5546875" style="9" bestFit="1" customWidth="1"/>
    <col min="10" max="10" width="16.5546875" style="9" bestFit="1" customWidth="1"/>
    <col min="11" max="11" width="9.33203125" bestFit="1" customWidth="1"/>
    <col min="12" max="12" width="72.33203125" bestFit="1" customWidth="1"/>
    <col min="13" max="13" width="43.88671875" bestFit="1" customWidth="1"/>
    <col min="14" max="25" width="7.6640625" customWidth="1"/>
  </cols>
  <sheetData>
    <row r="1" spans="1:16" ht="13.2" x14ac:dyDescent="0.25">
      <c r="A1" s="8" t="s">
        <v>1</v>
      </c>
      <c r="B1" s="8" t="s">
        <v>2</v>
      </c>
      <c r="C1" s="8" t="s">
        <v>4</v>
      </c>
      <c r="D1" s="8" t="s">
        <v>5</v>
      </c>
      <c r="E1" s="8" t="s">
        <v>6</v>
      </c>
      <c r="F1" s="8" t="s">
        <v>44</v>
      </c>
      <c r="G1" s="11" t="s">
        <v>43</v>
      </c>
      <c r="H1" s="12" t="s">
        <v>45</v>
      </c>
      <c r="I1" s="12" t="s">
        <v>46</v>
      </c>
      <c r="J1" s="11" t="s">
        <v>47</v>
      </c>
    </row>
    <row r="2" spans="1:16" ht="13.2" x14ac:dyDescent="0.25">
      <c r="A2" s="10">
        <v>3094</v>
      </c>
      <c r="B2" s="10">
        <v>1241</v>
      </c>
      <c r="C2" s="10" t="s">
        <v>12</v>
      </c>
      <c r="D2" s="10">
        <v>5</v>
      </c>
      <c r="E2" s="10">
        <v>359</v>
      </c>
      <c r="F2" s="9">
        <f t="shared" ref="F2:F65" si="0">D2*E2</f>
        <v>1795</v>
      </c>
      <c r="G2" s="9" t="str">
        <f>_xlfn.XLOOKUP(B2,Nursery_Inventory!B:B,Nursery_Inventory!E:E)</f>
        <v>Pune</v>
      </c>
      <c r="H2" s="9" t="str">
        <f>_xlfn.XLOOKUP(B2,Plant_Master!A:A,Plant_Master!B:B)</f>
        <v>Cactus</v>
      </c>
      <c r="I2" s="9" t="str">
        <f>_xlfn.XLOOKUP(B2,Plant_Master!A:A,Plant_Master!C:C)</f>
        <v>Outdoor</v>
      </c>
      <c r="J2" s="9">
        <f>_xlfn.XLOOKUP(B2,Nursery_Inventory!B:B,Nursery_Inventory!C:C)</f>
        <v>464</v>
      </c>
    </row>
    <row r="3" spans="1:16" ht="13.2" x14ac:dyDescent="0.25">
      <c r="A3" s="10">
        <v>3309</v>
      </c>
      <c r="B3" s="10">
        <v>1359</v>
      </c>
      <c r="C3" s="10" t="s">
        <v>12</v>
      </c>
      <c r="D3" s="10">
        <v>50</v>
      </c>
      <c r="E3" s="10">
        <v>480</v>
      </c>
      <c r="F3" s="9">
        <f t="shared" si="0"/>
        <v>24000</v>
      </c>
      <c r="G3" s="13" t="s">
        <v>79</v>
      </c>
      <c r="H3" s="9" t="str">
        <f>_xlfn.XLOOKUP(B3,Plant_Master!A:A,Plant_Master!B:B)</f>
        <v>Cactus</v>
      </c>
      <c r="I3" s="9" t="str">
        <f>_xlfn.XLOOKUP(B3,Plant_Master!A:A,Plant_Master!C:C)</f>
        <v>Flower</v>
      </c>
      <c r="J3" s="13" t="s">
        <v>73</v>
      </c>
    </row>
    <row r="4" spans="1:16" ht="13.2" x14ac:dyDescent="0.25">
      <c r="A4" s="10">
        <v>3368</v>
      </c>
      <c r="B4" s="10">
        <v>1224</v>
      </c>
      <c r="C4" s="10" t="s">
        <v>9</v>
      </c>
      <c r="D4" s="10">
        <v>49</v>
      </c>
      <c r="E4" s="10">
        <v>477</v>
      </c>
      <c r="F4" s="9">
        <f t="shared" si="0"/>
        <v>23373</v>
      </c>
      <c r="G4" s="9" t="str">
        <f>_xlfn.XLOOKUP(B4,Nursery_Inventory!B:B,Nursery_Inventory!E:E)</f>
        <v>Mumbai</v>
      </c>
      <c r="H4" s="9" t="str">
        <f>_xlfn.XLOOKUP(B4,Plant_Master!A:A,Plant_Master!B:B)</f>
        <v>Cactus</v>
      </c>
      <c r="I4" s="9" t="str">
        <f>_xlfn.XLOOKUP(B4,Plant_Master!A:A,Plant_Master!C:C)</f>
        <v>Medicinal</v>
      </c>
      <c r="J4" s="9">
        <f>_xlfn.XLOOKUP(B4,Nursery_Inventory!B:B,Nursery_Inventory!C:C)</f>
        <v>250</v>
      </c>
      <c r="P4" s="4"/>
    </row>
    <row r="5" spans="1:16" ht="13.2" x14ac:dyDescent="0.25">
      <c r="A5" s="10">
        <v>3329</v>
      </c>
      <c r="B5" s="10">
        <v>1379</v>
      </c>
      <c r="C5" s="10" t="s">
        <v>7</v>
      </c>
      <c r="D5" s="10">
        <v>49</v>
      </c>
      <c r="E5" s="10">
        <v>500</v>
      </c>
      <c r="F5" s="9">
        <f t="shared" si="0"/>
        <v>24500</v>
      </c>
      <c r="G5" s="9" t="str">
        <f>_xlfn.XLOOKUP(B5,Nursery_Inventory!B:B,Nursery_Inventory!E:E)</f>
        <v>Bangalore</v>
      </c>
      <c r="H5" s="9" t="str">
        <f>_xlfn.XLOOKUP(B5,Plant_Master!A:A,Plant_Master!B:B)</f>
        <v>Orchid</v>
      </c>
      <c r="I5" s="9" t="str">
        <f>_xlfn.XLOOKUP(B5,Plant_Master!A:A,Plant_Master!C:C)</f>
        <v>Outdoor</v>
      </c>
      <c r="J5" s="9">
        <f>_xlfn.XLOOKUP(B5,Nursery_Inventory!B:B,Nursery_Inventory!C:C)</f>
        <v>36</v>
      </c>
    </row>
    <row r="6" spans="1:16" ht="13.2" x14ac:dyDescent="0.25">
      <c r="A6" s="10">
        <v>3277</v>
      </c>
      <c r="B6" s="10">
        <v>1418</v>
      </c>
      <c r="C6" s="10" t="s">
        <v>25</v>
      </c>
      <c r="D6" s="10">
        <v>45</v>
      </c>
      <c r="E6" s="10">
        <v>494</v>
      </c>
      <c r="F6" s="9">
        <f t="shared" si="0"/>
        <v>22230</v>
      </c>
      <c r="G6" s="9" t="str">
        <f>_xlfn.XLOOKUP(B6,Nursery_Inventory!B:B,Nursery_Inventory!E:E)</f>
        <v>Chennai</v>
      </c>
      <c r="H6" s="9" t="str">
        <f>_xlfn.XLOOKUP(B6,Plant_Master!A:A,Plant_Master!B:B)</f>
        <v>Lily</v>
      </c>
      <c r="I6" s="9" t="str">
        <f>_xlfn.XLOOKUP(B6,Plant_Master!A:A,Plant_Master!C:C)</f>
        <v>Medicinal</v>
      </c>
      <c r="J6" s="9">
        <f>_xlfn.XLOOKUP(B6,Nursery_Inventory!B:B,Nursery_Inventory!C:C)</f>
        <v>453</v>
      </c>
      <c r="L6" s="4"/>
    </row>
    <row r="7" spans="1:16" ht="13.2" x14ac:dyDescent="0.25">
      <c r="A7" s="10">
        <v>3228</v>
      </c>
      <c r="B7" s="10">
        <v>1412</v>
      </c>
      <c r="C7" s="10" t="s">
        <v>25</v>
      </c>
      <c r="D7" s="10">
        <v>44</v>
      </c>
      <c r="E7" s="10">
        <v>435</v>
      </c>
      <c r="F7" s="9">
        <f t="shared" si="0"/>
        <v>19140</v>
      </c>
      <c r="G7" s="13" t="s">
        <v>79</v>
      </c>
      <c r="H7" s="9" t="str">
        <f>_xlfn.XLOOKUP(B7,Plant_Master!A:A,Plant_Master!B:B)</f>
        <v>Fern</v>
      </c>
      <c r="I7" s="9" t="str">
        <f>_xlfn.XLOOKUP(B7,Plant_Master!A:A,Plant_Master!C:C)</f>
        <v>Flower</v>
      </c>
      <c r="J7" s="13" t="s">
        <v>73</v>
      </c>
      <c r="M7" s="7"/>
    </row>
    <row r="8" spans="1:16" ht="13.2" x14ac:dyDescent="0.25">
      <c r="A8" s="10">
        <v>3154</v>
      </c>
      <c r="B8" s="10">
        <v>1022</v>
      </c>
      <c r="C8" s="10" t="s">
        <v>14</v>
      </c>
      <c r="D8" s="10">
        <v>50</v>
      </c>
      <c r="E8" s="10">
        <v>441</v>
      </c>
      <c r="F8" s="9">
        <f t="shared" si="0"/>
        <v>22050</v>
      </c>
      <c r="G8" s="13" t="s">
        <v>79</v>
      </c>
      <c r="H8" s="9" t="str">
        <f>_xlfn.XLOOKUP(B8,Plant_Master!A:A,Plant_Master!B:B)</f>
        <v>Jasmine</v>
      </c>
      <c r="I8" s="9" t="str">
        <f>_xlfn.XLOOKUP(B8,Plant_Master!A:A,Plant_Master!C:C)</f>
        <v>Indoor</v>
      </c>
      <c r="J8" s="13" t="s">
        <v>73</v>
      </c>
      <c r="L8" s="6"/>
      <c r="M8" s="7"/>
    </row>
    <row r="9" spans="1:16" ht="13.2" x14ac:dyDescent="0.25">
      <c r="A9" s="10">
        <v>3030</v>
      </c>
      <c r="B9" s="10">
        <v>1438</v>
      </c>
      <c r="C9" s="10" t="s">
        <v>9</v>
      </c>
      <c r="D9" s="10">
        <v>44</v>
      </c>
      <c r="E9" s="10">
        <v>483</v>
      </c>
      <c r="F9" s="9">
        <f t="shared" si="0"/>
        <v>21252</v>
      </c>
      <c r="G9" s="13" t="s">
        <v>79</v>
      </c>
      <c r="H9" s="9" t="str">
        <f>_xlfn.XLOOKUP(B9,Plant_Master!A:A,Plant_Master!B:B)</f>
        <v>Cactus</v>
      </c>
      <c r="I9" s="9" t="str">
        <f>_xlfn.XLOOKUP(B9,Plant_Master!A:A,Plant_Master!C:C)</f>
        <v>Medicinal</v>
      </c>
      <c r="J9" s="13" t="s">
        <v>73</v>
      </c>
      <c r="L9" s="5"/>
      <c r="M9" s="7"/>
    </row>
    <row r="10" spans="1:16" ht="13.2" x14ac:dyDescent="0.25">
      <c r="A10" s="10">
        <v>3011</v>
      </c>
      <c r="B10" s="10">
        <v>1060</v>
      </c>
      <c r="C10" s="10" t="s">
        <v>14</v>
      </c>
      <c r="D10" s="10">
        <v>50</v>
      </c>
      <c r="E10" s="10">
        <v>271</v>
      </c>
      <c r="F10" s="9">
        <f t="shared" si="0"/>
        <v>13550</v>
      </c>
      <c r="G10" s="9" t="str">
        <f>_xlfn.XLOOKUP(B10,Nursery_Inventory!B:B,Nursery_Inventory!E:E)</f>
        <v>Chennai</v>
      </c>
      <c r="H10" s="9" t="str">
        <f>_xlfn.XLOOKUP(B10,Plant_Master!A:A,Plant_Master!B:B)</f>
        <v>Bamboo</v>
      </c>
      <c r="I10" s="9" t="str">
        <f>_xlfn.XLOOKUP(B10,Plant_Master!A:A,Plant_Master!C:C)</f>
        <v>Outdoor</v>
      </c>
      <c r="J10" s="9">
        <f>_xlfn.XLOOKUP(B10,Nursery_Inventory!B:B,Nursery_Inventory!C:C)</f>
        <v>93</v>
      </c>
      <c r="L10" s="6"/>
      <c r="M10" s="7"/>
    </row>
    <row r="11" spans="1:16" ht="13.2" x14ac:dyDescent="0.25">
      <c r="A11" s="10">
        <v>3299</v>
      </c>
      <c r="B11" s="10">
        <v>1444</v>
      </c>
      <c r="C11" s="10" t="s">
        <v>12</v>
      </c>
      <c r="D11" s="10">
        <v>44</v>
      </c>
      <c r="E11" s="10">
        <v>426</v>
      </c>
      <c r="F11" s="9">
        <f t="shared" si="0"/>
        <v>18744</v>
      </c>
      <c r="G11" s="9" t="str">
        <f>_xlfn.XLOOKUP(B11,Nursery_Inventory!B:B,Nursery_Inventory!E:E)</f>
        <v>Delhi</v>
      </c>
      <c r="H11" s="9" t="str">
        <f>_xlfn.XLOOKUP(B11,Plant_Master!A:A,Plant_Master!B:B)</f>
        <v>Tulip</v>
      </c>
      <c r="I11" s="9" t="str">
        <f>_xlfn.XLOOKUP(B11,Plant_Master!A:A,Plant_Master!C:C)</f>
        <v>Indoor</v>
      </c>
      <c r="J11" s="9">
        <f>_xlfn.XLOOKUP(B11,Nursery_Inventory!B:B,Nursery_Inventory!C:C)</f>
        <v>499</v>
      </c>
      <c r="L11" s="5"/>
      <c r="M11" s="7"/>
    </row>
    <row r="12" spans="1:16" ht="13.2" x14ac:dyDescent="0.25">
      <c r="A12" s="10">
        <v>3252</v>
      </c>
      <c r="B12" s="10">
        <v>1407</v>
      </c>
      <c r="C12" s="10" t="s">
        <v>12</v>
      </c>
      <c r="D12" s="10">
        <v>29</v>
      </c>
      <c r="E12" s="10">
        <v>391</v>
      </c>
      <c r="F12" s="9">
        <f t="shared" si="0"/>
        <v>11339</v>
      </c>
      <c r="G12" s="9" t="str">
        <f>_xlfn.XLOOKUP(B12,Nursery_Inventory!B:B,Nursery_Inventory!E:E)</f>
        <v>Pune</v>
      </c>
      <c r="H12" s="9" t="str">
        <f>_xlfn.XLOOKUP(B12,Plant_Master!A:A,Plant_Master!B:B)</f>
        <v>Palm</v>
      </c>
      <c r="I12" s="9" t="str">
        <f>_xlfn.XLOOKUP(B12,Plant_Master!A:A,Plant_Master!C:C)</f>
        <v>Flower</v>
      </c>
      <c r="J12" s="9">
        <f>_xlfn.XLOOKUP(B12,Nursery_Inventory!B:B,Nursery_Inventory!C:C)</f>
        <v>463</v>
      </c>
      <c r="L12" s="6"/>
      <c r="M12" s="7"/>
    </row>
    <row r="13" spans="1:16" ht="13.2" x14ac:dyDescent="0.25">
      <c r="A13" s="10">
        <v>3259</v>
      </c>
      <c r="B13" s="10">
        <v>1444</v>
      </c>
      <c r="C13" s="10" t="s">
        <v>7</v>
      </c>
      <c r="D13" s="10">
        <v>4</v>
      </c>
      <c r="E13" s="10">
        <v>180</v>
      </c>
      <c r="F13" s="9">
        <f t="shared" si="0"/>
        <v>720</v>
      </c>
      <c r="G13" s="9" t="str">
        <f>_xlfn.XLOOKUP(B13,Nursery_Inventory!B:B,Nursery_Inventory!E:E)</f>
        <v>Delhi</v>
      </c>
      <c r="H13" s="9" t="str">
        <f>_xlfn.XLOOKUP(B13,Plant_Master!A:A,Plant_Master!B:B)</f>
        <v>Tulip</v>
      </c>
      <c r="I13" s="9" t="str">
        <f>_xlfn.XLOOKUP(B13,Plant_Master!A:A,Plant_Master!C:C)</f>
        <v>Indoor</v>
      </c>
      <c r="J13" s="9">
        <f>_xlfn.XLOOKUP(B13,Nursery_Inventory!B:B,Nursery_Inventory!C:C)</f>
        <v>499</v>
      </c>
      <c r="L13" s="5"/>
      <c r="M13" s="7"/>
    </row>
    <row r="14" spans="1:16" ht="13.2" x14ac:dyDescent="0.25">
      <c r="A14" s="10">
        <v>3308</v>
      </c>
      <c r="B14" s="10">
        <v>1222</v>
      </c>
      <c r="C14" s="10" t="s">
        <v>9</v>
      </c>
      <c r="D14" s="10">
        <v>44</v>
      </c>
      <c r="E14" s="10">
        <v>411</v>
      </c>
      <c r="F14" s="9">
        <f t="shared" si="0"/>
        <v>18084</v>
      </c>
      <c r="G14" s="9" t="str">
        <f>_xlfn.XLOOKUP(B14,Nursery_Inventory!B:B,Nursery_Inventory!E:E)</f>
        <v>Delhi</v>
      </c>
      <c r="H14" s="9" t="str">
        <f>_xlfn.XLOOKUP(B14,Plant_Master!A:A,Plant_Master!B:B)</f>
        <v>Lily</v>
      </c>
      <c r="I14" s="9" t="str">
        <f>_xlfn.XLOOKUP(B14,Plant_Master!A:A,Plant_Master!C:C)</f>
        <v>Flower</v>
      </c>
      <c r="J14" s="9">
        <f>_xlfn.XLOOKUP(B14,Nursery_Inventory!B:B,Nursery_Inventory!C:C)</f>
        <v>492</v>
      </c>
      <c r="L14" s="6"/>
      <c r="M14" s="7"/>
    </row>
    <row r="15" spans="1:16" ht="13.2" x14ac:dyDescent="0.25">
      <c r="A15" s="10">
        <v>3052</v>
      </c>
      <c r="B15" s="10">
        <v>1448</v>
      </c>
      <c r="C15" s="10" t="s">
        <v>25</v>
      </c>
      <c r="D15" s="10">
        <v>44</v>
      </c>
      <c r="E15" s="10">
        <v>372</v>
      </c>
      <c r="F15" s="9">
        <f t="shared" si="0"/>
        <v>16368</v>
      </c>
      <c r="G15" s="13" t="s">
        <v>79</v>
      </c>
      <c r="H15" s="9" t="str">
        <f>_xlfn.XLOOKUP(B15,Plant_Master!A:A,Plant_Master!B:B)</f>
        <v>Lily</v>
      </c>
      <c r="I15" s="9" t="str">
        <f>_xlfn.XLOOKUP(B15,Plant_Master!A:A,Plant_Master!C:C)</f>
        <v>Flower</v>
      </c>
      <c r="J15" s="13" t="s">
        <v>73</v>
      </c>
      <c r="L15" s="5"/>
      <c r="M15" s="7"/>
    </row>
    <row r="16" spans="1:16" ht="13.2" x14ac:dyDescent="0.25">
      <c r="A16" s="10">
        <v>3327</v>
      </c>
      <c r="B16" s="10">
        <v>1172</v>
      </c>
      <c r="C16" s="10" t="s">
        <v>14</v>
      </c>
      <c r="D16" s="10">
        <v>40</v>
      </c>
      <c r="E16" s="10">
        <v>477</v>
      </c>
      <c r="F16" s="9">
        <f t="shared" si="0"/>
        <v>19080</v>
      </c>
      <c r="G16" s="9" t="str">
        <f>_xlfn.XLOOKUP(B16,Nursery_Inventory!B:B,Nursery_Inventory!E:E)</f>
        <v>Chennai</v>
      </c>
      <c r="H16" s="9" t="str">
        <f>_xlfn.XLOOKUP(B16,Plant_Master!A:A,Plant_Master!B:B)</f>
        <v>Jasmine</v>
      </c>
      <c r="I16" s="9" t="str">
        <f>_xlfn.XLOOKUP(B16,Plant_Master!A:A,Plant_Master!C:C)</f>
        <v>Succulent</v>
      </c>
      <c r="J16" s="9">
        <f>_xlfn.XLOOKUP(B16,Nursery_Inventory!B:B,Nursery_Inventory!C:C)</f>
        <v>448</v>
      </c>
      <c r="L16" s="6"/>
      <c r="M16" s="7"/>
    </row>
    <row r="17" spans="1:13" ht="13.2" x14ac:dyDescent="0.25">
      <c r="A17" s="10">
        <v>3459</v>
      </c>
      <c r="B17" s="10">
        <v>1246</v>
      </c>
      <c r="C17" s="10" t="s">
        <v>12</v>
      </c>
      <c r="D17" s="10">
        <v>40</v>
      </c>
      <c r="E17" s="10">
        <v>477</v>
      </c>
      <c r="F17" s="9">
        <f t="shared" si="0"/>
        <v>19080</v>
      </c>
      <c r="G17" s="13" t="s">
        <v>79</v>
      </c>
      <c r="H17" s="9" t="str">
        <f>_xlfn.XLOOKUP(B17,Plant_Master!A:A,Plant_Master!B:B)</f>
        <v>Orchid</v>
      </c>
      <c r="I17" s="9" t="str">
        <f>_xlfn.XLOOKUP(B17,Plant_Master!A:A,Plant_Master!C:C)</f>
        <v>Succulent</v>
      </c>
      <c r="J17" s="13" t="s">
        <v>73</v>
      </c>
      <c r="L17" s="5"/>
      <c r="M17" s="7"/>
    </row>
    <row r="18" spans="1:13" ht="13.2" x14ac:dyDescent="0.25">
      <c r="A18" s="10">
        <v>3348</v>
      </c>
      <c r="B18" s="10">
        <v>1229</v>
      </c>
      <c r="C18" s="10" t="s">
        <v>25</v>
      </c>
      <c r="D18" s="10">
        <v>38</v>
      </c>
      <c r="E18" s="10">
        <v>87</v>
      </c>
      <c r="F18" s="9">
        <f t="shared" si="0"/>
        <v>3306</v>
      </c>
      <c r="G18" s="9" t="str">
        <f>_xlfn.XLOOKUP(B18,Nursery_Inventory!B:B,Nursery_Inventory!E:E)</f>
        <v>Pune</v>
      </c>
      <c r="H18" s="9" t="str">
        <f>_xlfn.XLOOKUP(B18,Plant_Master!A:A,Plant_Master!B:B)</f>
        <v>Tulip</v>
      </c>
      <c r="I18" s="9" t="str">
        <f>_xlfn.XLOOKUP(B18,Plant_Master!A:A,Plant_Master!C:C)</f>
        <v>Flower</v>
      </c>
      <c r="J18" s="9">
        <f>_xlfn.XLOOKUP(B18,Nursery_Inventory!B:B,Nursery_Inventory!C:C)</f>
        <v>461</v>
      </c>
      <c r="L18" s="6"/>
      <c r="M18" s="7"/>
    </row>
    <row r="19" spans="1:13" ht="13.2" x14ac:dyDescent="0.25">
      <c r="A19" s="10">
        <v>3316</v>
      </c>
      <c r="B19" s="10">
        <v>1229</v>
      </c>
      <c r="C19" s="10" t="s">
        <v>9</v>
      </c>
      <c r="D19" s="10">
        <v>31</v>
      </c>
      <c r="E19" s="10">
        <v>61</v>
      </c>
      <c r="F19" s="9">
        <f t="shared" si="0"/>
        <v>1891</v>
      </c>
      <c r="G19" s="9" t="str">
        <f>_xlfn.XLOOKUP(B19,Nursery_Inventory!B:B,Nursery_Inventory!E:E)</f>
        <v>Pune</v>
      </c>
      <c r="H19" s="9" t="str">
        <f>_xlfn.XLOOKUP(B19,Plant_Master!A:A,Plant_Master!B:B)</f>
        <v>Tulip</v>
      </c>
      <c r="I19" s="9" t="str">
        <f>_xlfn.XLOOKUP(B19,Plant_Master!A:A,Plant_Master!C:C)</f>
        <v>Flower</v>
      </c>
      <c r="J19" s="9">
        <f>_xlfn.XLOOKUP(B19,Nursery_Inventory!B:B,Nursery_Inventory!C:C)</f>
        <v>461</v>
      </c>
      <c r="L19" s="5"/>
      <c r="M19" s="7"/>
    </row>
    <row r="20" spans="1:13" ht="13.2" x14ac:dyDescent="0.25">
      <c r="A20" s="10">
        <v>3362</v>
      </c>
      <c r="B20" s="10">
        <v>1222</v>
      </c>
      <c r="C20" s="10" t="s">
        <v>14</v>
      </c>
      <c r="D20" s="10">
        <v>27</v>
      </c>
      <c r="E20" s="10">
        <v>379</v>
      </c>
      <c r="F20" s="9">
        <f t="shared" si="0"/>
        <v>10233</v>
      </c>
      <c r="G20" s="9" t="str">
        <f>_xlfn.XLOOKUP(B20,Nursery_Inventory!B:B,Nursery_Inventory!E:E)</f>
        <v>Delhi</v>
      </c>
      <c r="H20" s="9" t="str">
        <f>_xlfn.XLOOKUP(B20,Plant_Master!A:A,Plant_Master!B:B)</f>
        <v>Lily</v>
      </c>
      <c r="I20" s="9" t="str">
        <f>_xlfn.XLOOKUP(B20,Plant_Master!A:A,Plant_Master!C:C)</f>
        <v>Flower</v>
      </c>
      <c r="J20" s="9">
        <f>_xlfn.XLOOKUP(B20,Nursery_Inventory!B:B,Nursery_Inventory!C:C)</f>
        <v>492</v>
      </c>
      <c r="L20" s="6"/>
      <c r="M20" s="7"/>
    </row>
    <row r="21" spans="1:13" ht="13.2" x14ac:dyDescent="0.25">
      <c r="A21" s="10">
        <v>3278</v>
      </c>
      <c r="B21" s="10">
        <v>1275</v>
      </c>
      <c r="C21" s="10" t="s">
        <v>14</v>
      </c>
      <c r="D21" s="10">
        <v>34</v>
      </c>
      <c r="E21" s="10">
        <v>446</v>
      </c>
      <c r="F21" s="9">
        <f t="shared" si="0"/>
        <v>15164</v>
      </c>
      <c r="G21" s="13" t="s">
        <v>79</v>
      </c>
      <c r="H21" s="9" t="str">
        <f>_xlfn.XLOOKUP(B21,Plant_Master!A:A,Plant_Master!B:B)</f>
        <v>Fern</v>
      </c>
      <c r="I21" s="9" t="str">
        <f>_xlfn.XLOOKUP(B21,Plant_Master!A:A,Plant_Master!C:C)</f>
        <v>Flower</v>
      </c>
      <c r="J21" s="13" t="s">
        <v>73</v>
      </c>
      <c r="L21" s="5"/>
      <c r="M21" s="7"/>
    </row>
    <row r="22" spans="1:13" ht="13.2" x14ac:dyDescent="0.25">
      <c r="A22" s="10">
        <v>3481</v>
      </c>
      <c r="B22" s="10">
        <v>1114</v>
      </c>
      <c r="C22" s="10" t="s">
        <v>14</v>
      </c>
      <c r="D22" s="10">
        <v>46</v>
      </c>
      <c r="E22" s="10">
        <v>317</v>
      </c>
      <c r="F22" s="9">
        <f t="shared" si="0"/>
        <v>14582</v>
      </c>
      <c r="G22" s="13" t="s">
        <v>79</v>
      </c>
      <c r="H22" s="9" t="str">
        <f>_xlfn.XLOOKUP(B22,Plant_Master!A:A,Plant_Master!B:B)</f>
        <v>Cactus</v>
      </c>
      <c r="I22" s="9" t="str">
        <f>_xlfn.XLOOKUP(B22,Plant_Master!A:A,Plant_Master!C:C)</f>
        <v>Flower</v>
      </c>
      <c r="J22" s="13" t="s">
        <v>73</v>
      </c>
      <c r="L22" s="6"/>
      <c r="M22" s="7"/>
    </row>
    <row r="23" spans="1:13" ht="13.2" x14ac:dyDescent="0.25">
      <c r="A23" s="10">
        <v>3031</v>
      </c>
      <c r="B23" s="10">
        <v>1222</v>
      </c>
      <c r="C23" s="10" t="s">
        <v>12</v>
      </c>
      <c r="D23" s="10">
        <v>16</v>
      </c>
      <c r="E23" s="10">
        <v>472</v>
      </c>
      <c r="F23" s="9">
        <f t="shared" si="0"/>
        <v>7552</v>
      </c>
      <c r="G23" s="9" t="str">
        <f>_xlfn.XLOOKUP(B23,Nursery_Inventory!B:B,Nursery_Inventory!E:E)</f>
        <v>Delhi</v>
      </c>
      <c r="H23" s="9" t="str">
        <f>_xlfn.XLOOKUP(B23,Plant_Master!A:A,Plant_Master!B:B)</f>
        <v>Lily</v>
      </c>
      <c r="I23" s="9" t="str">
        <f>_xlfn.XLOOKUP(B23,Plant_Master!A:A,Plant_Master!C:C)</f>
        <v>Flower</v>
      </c>
      <c r="J23" s="9">
        <f>_xlfn.XLOOKUP(B23,Nursery_Inventory!B:B,Nursery_Inventory!C:C)</f>
        <v>492</v>
      </c>
      <c r="L23" s="5"/>
      <c r="M23" s="7"/>
    </row>
    <row r="24" spans="1:13" ht="13.2" x14ac:dyDescent="0.25">
      <c r="A24" s="10">
        <v>3488</v>
      </c>
      <c r="B24" s="10">
        <v>1496</v>
      </c>
      <c r="C24" s="10" t="s">
        <v>25</v>
      </c>
      <c r="D24" s="10">
        <v>29</v>
      </c>
      <c r="E24" s="10">
        <v>434</v>
      </c>
      <c r="F24" s="9">
        <f t="shared" si="0"/>
        <v>12586</v>
      </c>
      <c r="G24" s="13" t="s">
        <v>79</v>
      </c>
      <c r="H24" s="9" t="str">
        <f>_xlfn.XLOOKUP(B24,Plant_Master!A:A,Plant_Master!B:B)</f>
        <v>Cactus</v>
      </c>
      <c r="I24" s="9" t="str">
        <f>_xlfn.XLOOKUP(B24,Plant_Master!A:A,Plant_Master!C:C)</f>
        <v>Flower</v>
      </c>
      <c r="J24" s="13" t="s">
        <v>73</v>
      </c>
      <c r="L24" s="6"/>
      <c r="M24" s="7"/>
    </row>
    <row r="25" spans="1:13" ht="13.2" x14ac:dyDescent="0.25">
      <c r="A25" s="10">
        <v>3202</v>
      </c>
      <c r="B25" s="10">
        <v>1478</v>
      </c>
      <c r="C25" s="10" t="s">
        <v>14</v>
      </c>
      <c r="D25" s="10">
        <v>23</v>
      </c>
      <c r="E25" s="10">
        <v>258</v>
      </c>
      <c r="F25" s="9">
        <f t="shared" si="0"/>
        <v>5934</v>
      </c>
      <c r="G25" s="9" t="str">
        <f>_xlfn.XLOOKUP(B25,Nursery_Inventory!B:B,Nursery_Inventory!E:E)</f>
        <v>Pune</v>
      </c>
      <c r="H25" s="9" t="str">
        <f>_xlfn.XLOOKUP(B25,Plant_Master!A:A,Plant_Master!B:B)</f>
        <v>Bamboo</v>
      </c>
      <c r="I25" s="9" t="str">
        <f>_xlfn.XLOOKUP(B25,Plant_Master!A:A,Plant_Master!C:C)</f>
        <v>Outdoor</v>
      </c>
      <c r="J25" s="9">
        <f>_xlfn.XLOOKUP(B25,Nursery_Inventory!B:B,Nursery_Inventory!C:C)</f>
        <v>454</v>
      </c>
      <c r="L25" s="5"/>
      <c r="M25" s="7"/>
    </row>
    <row r="26" spans="1:13" ht="13.2" x14ac:dyDescent="0.25">
      <c r="A26" s="10">
        <v>3285</v>
      </c>
      <c r="B26" s="10">
        <v>1211</v>
      </c>
      <c r="C26" s="10" t="s">
        <v>9</v>
      </c>
      <c r="D26" s="10">
        <v>28</v>
      </c>
      <c r="E26" s="10">
        <v>391</v>
      </c>
      <c r="F26" s="9">
        <f t="shared" si="0"/>
        <v>10948</v>
      </c>
      <c r="G26" s="13" t="s">
        <v>79</v>
      </c>
      <c r="H26" s="9" t="str">
        <f>_xlfn.XLOOKUP(B26,Plant_Master!A:A,Plant_Master!B:B)</f>
        <v>Tulip</v>
      </c>
      <c r="I26" s="9" t="str">
        <f>_xlfn.XLOOKUP(B26,Plant_Master!A:A,Plant_Master!C:C)</f>
        <v>Flower</v>
      </c>
      <c r="J26" s="13" t="s">
        <v>73</v>
      </c>
      <c r="L26" s="6"/>
      <c r="M26" s="7"/>
    </row>
    <row r="27" spans="1:13" ht="13.2" x14ac:dyDescent="0.25">
      <c r="A27" s="10">
        <v>3021</v>
      </c>
      <c r="B27" s="10">
        <v>1295</v>
      </c>
      <c r="C27" s="10" t="s">
        <v>9</v>
      </c>
      <c r="D27" s="10">
        <v>44</v>
      </c>
      <c r="E27" s="10">
        <v>404</v>
      </c>
      <c r="F27" s="9">
        <f t="shared" si="0"/>
        <v>17776</v>
      </c>
      <c r="G27" s="9" t="str">
        <f>_xlfn.XLOOKUP(B27,Nursery_Inventory!B:B,Nursery_Inventory!E:E)</f>
        <v>Mumbai</v>
      </c>
      <c r="H27" s="9" t="str">
        <f>_xlfn.XLOOKUP(B27,Plant_Master!A:A,Plant_Master!B:B)</f>
        <v>Tulip</v>
      </c>
      <c r="I27" s="9" t="str">
        <f>_xlfn.XLOOKUP(B27,Plant_Master!A:A,Plant_Master!C:C)</f>
        <v>Medicinal</v>
      </c>
      <c r="J27" s="9">
        <f>_xlfn.XLOOKUP(B27,Nursery_Inventory!B:B,Nursery_Inventory!C:C)</f>
        <v>19</v>
      </c>
    </row>
    <row r="28" spans="1:13" ht="13.2" x14ac:dyDescent="0.25">
      <c r="A28" s="10">
        <v>3085</v>
      </c>
      <c r="B28" s="10">
        <v>1124</v>
      </c>
      <c r="C28" s="10" t="s">
        <v>14</v>
      </c>
      <c r="D28" s="10">
        <v>44</v>
      </c>
      <c r="E28" s="10">
        <v>399</v>
      </c>
      <c r="F28" s="9">
        <f t="shared" si="0"/>
        <v>17556</v>
      </c>
      <c r="G28" s="9" t="str">
        <f>_xlfn.XLOOKUP(B28,Nursery_Inventory!B:B,Nursery_Inventory!E:E)</f>
        <v>Bangalore</v>
      </c>
      <c r="H28" s="9" t="str">
        <f>_xlfn.XLOOKUP(B28,Plant_Master!A:A,Plant_Master!B:B)</f>
        <v>Aloe</v>
      </c>
      <c r="I28" s="9" t="str">
        <f>_xlfn.XLOOKUP(B28,Plant_Master!A:A,Plant_Master!C:C)</f>
        <v>Indoor</v>
      </c>
      <c r="J28" s="9">
        <f>_xlfn.XLOOKUP(B28,Nursery_Inventory!B:B,Nursery_Inventory!C:C)</f>
        <v>447</v>
      </c>
    </row>
    <row r="29" spans="1:13" ht="13.2" x14ac:dyDescent="0.25">
      <c r="A29" s="10">
        <v>3107</v>
      </c>
      <c r="B29" s="10">
        <v>1179</v>
      </c>
      <c r="C29" s="10" t="s">
        <v>9</v>
      </c>
      <c r="D29" s="10">
        <v>36</v>
      </c>
      <c r="E29" s="10">
        <v>496</v>
      </c>
      <c r="F29" s="9">
        <f t="shared" si="0"/>
        <v>17856</v>
      </c>
      <c r="G29" s="9" t="str">
        <f>_xlfn.XLOOKUP(B29,Nursery_Inventory!B:B,Nursery_Inventory!E:E)</f>
        <v>Bangalore</v>
      </c>
      <c r="H29" s="9" t="str">
        <f>_xlfn.XLOOKUP(B29,Plant_Master!A:A,Plant_Master!B:B)</f>
        <v>Jasmine</v>
      </c>
      <c r="I29" s="9" t="str">
        <f>_xlfn.XLOOKUP(B29,Plant_Master!A:A,Plant_Master!C:C)</f>
        <v>Flower</v>
      </c>
      <c r="J29" s="9">
        <f>_xlfn.XLOOKUP(B29,Nursery_Inventory!B:B,Nursery_Inventory!C:C)</f>
        <v>435</v>
      </c>
    </row>
    <row r="30" spans="1:13" ht="13.2" x14ac:dyDescent="0.25">
      <c r="A30" s="10">
        <v>3135</v>
      </c>
      <c r="B30" s="10">
        <v>1356</v>
      </c>
      <c r="C30" s="10" t="s">
        <v>12</v>
      </c>
      <c r="D30" s="10">
        <v>40</v>
      </c>
      <c r="E30" s="10">
        <v>444</v>
      </c>
      <c r="F30" s="9">
        <f t="shared" si="0"/>
        <v>17760</v>
      </c>
      <c r="G30" s="9" t="str">
        <f>_xlfn.XLOOKUP(B30,Nursery_Inventory!B:B,Nursery_Inventory!E:E)</f>
        <v>Bangalore</v>
      </c>
      <c r="H30" s="9" t="str">
        <f>_xlfn.XLOOKUP(B30,Plant_Master!A:A,Plant_Master!B:B)</f>
        <v>Bamboo</v>
      </c>
      <c r="I30" s="9" t="str">
        <f>_xlfn.XLOOKUP(B30,Plant_Master!A:A,Plant_Master!C:C)</f>
        <v>Indoor</v>
      </c>
      <c r="J30" s="9">
        <f>_xlfn.XLOOKUP(B30,Nursery_Inventory!B:B,Nursery_Inventory!C:C)</f>
        <v>409</v>
      </c>
    </row>
    <row r="31" spans="1:13" ht="13.2" x14ac:dyDescent="0.25">
      <c r="A31" s="10">
        <v>3140</v>
      </c>
      <c r="B31" s="10">
        <v>1222</v>
      </c>
      <c r="C31" s="10" t="s">
        <v>9</v>
      </c>
      <c r="D31" s="10">
        <v>14</v>
      </c>
      <c r="E31" s="10">
        <v>440</v>
      </c>
      <c r="F31" s="9">
        <f t="shared" si="0"/>
        <v>6160</v>
      </c>
      <c r="G31" s="9" t="str">
        <f>_xlfn.XLOOKUP(B31,Nursery_Inventory!B:B,Nursery_Inventory!E:E)</f>
        <v>Delhi</v>
      </c>
      <c r="H31" s="9" t="str">
        <f>_xlfn.XLOOKUP(B31,Plant_Master!A:A,Plant_Master!B:B)</f>
        <v>Lily</v>
      </c>
      <c r="I31" s="9" t="str">
        <f>_xlfn.XLOOKUP(B31,Plant_Master!A:A,Plant_Master!C:C)</f>
        <v>Flower</v>
      </c>
      <c r="J31" s="9">
        <f>_xlfn.XLOOKUP(B31,Nursery_Inventory!B:B,Nursery_Inventory!C:C)</f>
        <v>492</v>
      </c>
    </row>
    <row r="32" spans="1:13" ht="13.2" x14ac:dyDescent="0.25">
      <c r="A32" s="10">
        <v>3405</v>
      </c>
      <c r="B32" s="10">
        <v>1222</v>
      </c>
      <c r="C32" s="10" t="s">
        <v>14</v>
      </c>
      <c r="D32" s="10">
        <v>8</v>
      </c>
      <c r="E32" s="10">
        <v>398</v>
      </c>
      <c r="F32" s="9">
        <f t="shared" si="0"/>
        <v>3184</v>
      </c>
      <c r="G32" s="9" t="str">
        <f>_xlfn.XLOOKUP(B32,Nursery_Inventory!B:B,Nursery_Inventory!E:E)</f>
        <v>Delhi</v>
      </c>
      <c r="H32" s="9" t="str">
        <f>_xlfn.XLOOKUP(B32,Plant_Master!A:A,Plant_Master!B:B)</f>
        <v>Lily</v>
      </c>
      <c r="I32" s="9" t="str">
        <f>_xlfn.XLOOKUP(B32,Plant_Master!A:A,Plant_Master!C:C)</f>
        <v>Flower</v>
      </c>
      <c r="J32" s="9">
        <f>_xlfn.XLOOKUP(B32,Nursery_Inventory!B:B,Nursery_Inventory!C:C)</f>
        <v>492</v>
      </c>
    </row>
    <row r="33" spans="1:10" ht="13.2" x14ac:dyDescent="0.25">
      <c r="A33" s="10">
        <v>3407</v>
      </c>
      <c r="B33" s="10">
        <v>1020</v>
      </c>
      <c r="C33" s="10" t="s">
        <v>12</v>
      </c>
      <c r="D33" s="10">
        <v>35</v>
      </c>
      <c r="E33" s="10">
        <v>483</v>
      </c>
      <c r="F33" s="9">
        <f t="shared" si="0"/>
        <v>16905</v>
      </c>
      <c r="G33" s="9" t="str">
        <f>_xlfn.XLOOKUP(B33,Nursery_Inventory!B:B,Nursery_Inventory!E:E)</f>
        <v>Mumbai</v>
      </c>
      <c r="H33" s="9" t="str">
        <f>_xlfn.XLOOKUP(B33,Plant_Master!A:A,Plant_Master!B:B)</f>
        <v>Palm</v>
      </c>
      <c r="I33" s="9" t="str">
        <f>_xlfn.XLOOKUP(B33,Plant_Master!A:A,Plant_Master!C:C)</f>
        <v>Succulent</v>
      </c>
      <c r="J33" s="9">
        <f>_xlfn.XLOOKUP(B33,Nursery_Inventory!B:B,Nursery_Inventory!C:C)</f>
        <v>164</v>
      </c>
    </row>
    <row r="34" spans="1:10" ht="13.2" x14ac:dyDescent="0.25">
      <c r="A34" s="10">
        <v>3438</v>
      </c>
      <c r="B34" s="10">
        <v>1070</v>
      </c>
      <c r="C34" s="10" t="s">
        <v>7</v>
      </c>
      <c r="D34" s="10">
        <v>48</v>
      </c>
      <c r="E34" s="10">
        <v>435</v>
      </c>
      <c r="F34" s="9">
        <f t="shared" si="0"/>
        <v>20880</v>
      </c>
      <c r="G34" s="13" t="s">
        <v>79</v>
      </c>
      <c r="H34" s="9" t="str">
        <f>_xlfn.XLOOKUP(B34,Plant_Master!A:A,Plant_Master!B:B)</f>
        <v>Jasmine</v>
      </c>
      <c r="I34" s="9" t="str">
        <f>_xlfn.XLOOKUP(B34,Plant_Master!A:A,Plant_Master!C:C)</f>
        <v>Outdoor</v>
      </c>
      <c r="J34" s="13" t="s">
        <v>73</v>
      </c>
    </row>
    <row r="35" spans="1:10" ht="13.2" x14ac:dyDescent="0.25">
      <c r="A35" s="10">
        <v>3058</v>
      </c>
      <c r="B35" s="10">
        <v>1385</v>
      </c>
      <c r="C35" s="10" t="s">
        <v>14</v>
      </c>
      <c r="D35" s="10">
        <v>47</v>
      </c>
      <c r="E35" s="10">
        <v>421</v>
      </c>
      <c r="F35" s="9">
        <f t="shared" si="0"/>
        <v>19787</v>
      </c>
      <c r="G35" s="13" t="s">
        <v>79</v>
      </c>
      <c r="H35" s="9" t="str">
        <f>_xlfn.XLOOKUP(B35,Plant_Master!A:A,Plant_Master!B:B)</f>
        <v>Jasmine</v>
      </c>
      <c r="I35" s="9" t="str">
        <f>_xlfn.XLOOKUP(B35,Plant_Master!A:A,Plant_Master!C:C)</f>
        <v>Outdoor</v>
      </c>
      <c r="J35" s="13" t="s">
        <v>73</v>
      </c>
    </row>
    <row r="36" spans="1:10" ht="13.2" x14ac:dyDescent="0.25">
      <c r="A36" s="10">
        <v>3020</v>
      </c>
      <c r="B36" s="10">
        <v>1463</v>
      </c>
      <c r="C36" s="10" t="s">
        <v>7</v>
      </c>
      <c r="D36" s="10">
        <v>43</v>
      </c>
      <c r="E36" s="10">
        <v>385</v>
      </c>
      <c r="F36" s="9">
        <f t="shared" si="0"/>
        <v>16555</v>
      </c>
      <c r="G36" s="9" t="str">
        <f>_xlfn.XLOOKUP(B36,Nursery_Inventory!B:B,Nursery_Inventory!E:E)</f>
        <v>Chennai</v>
      </c>
      <c r="H36" s="9" t="str">
        <f>_xlfn.XLOOKUP(B36,Plant_Master!A:A,Plant_Master!B:B)</f>
        <v>Lily</v>
      </c>
      <c r="I36" s="9" t="str">
        <f>_xlfn.XLOOKUP(B36,Plant_Master!A:A,Plant_Master!C:C)</f>
        <v>Succulent</v>
      </c>
      <c r="J36" s="9">
        <f>_xlfn.XLOOKUP(B36,Nursery_Inventory!B:B,Nursery_Inventory!C:C)</f>
        <v>382</v>
      </c>
    </row>
    <row r="37" spans="1:10" ht="13.2" x14ac:dyDescent="0.25">
      <c r="A37" s="10">
        <v>3156</v>
      </c>
      <c r="B37" s="10">
        <v>1306</v>
      </c>
      <c r="C37" s="10" t="s">
        <v>14</v>
      </c>
      <c r="D37" s="10">
        <v>39</v>
      </c>
      <c r="E37" s="10">
        <v>424</v>
      </c>
      <c r="F37" s="9">
        <f t="shared" si="0"/>
        <v>16536</v>
      </c>
      <c r="G37" s="9" t="str">
        <f>_xlfn.XLOOKUP(B37,Nursery_Inventory!B:B,Nursery_Inventory!E:E)</f>
        <v>Mumbai</v>
      </c>
      <c r="H37" s="9" t="str">
        <f>_xlfn.XLOOKUP(B37,Plant_Master!A:A,Plant_Master!B:B)</f>
        <v>Lily</v>
      </c>
      <c r="I37" s="9" t="str">
        <f>_xlfn.XLOOKUP(B37,Plant_Master!A:A,Plant_Master!C:C)</f>
        <v>Medicinal</v>
      </c>
      <c r="J37" s="9">
        <f>_xlfn.XLOOKUP(B37,Nursery_Inventory!B:B,Nursery_Inventory!C:C)</f>
        <v>412</v>
      </c>
    </row>
    <row r="38" spans="1:10" ht="13.2" x14ac:dyDescent="0.25">
      <c r="A38" s="10">
        <v>3426</v>
      </c>
      <c r="B38" s="10">
        <v>1497</v>
      </c>
      <c r="C38" s="10" t="s">
        <v>14</v>
      </c>
      <c r="D38" s="10">
        <v>26</v>
      </c>
      <c r="E38" s="10">
        <v>396</v>
      </c>
      <c r="F38" s="9">
        <f t="shared" si="0"/>
        <v>10296</v>
      </c>
      <c r="G38" s="13" t="s">
        <v>79</v>
      </c>
      <c r="H38" s="9" t="str">
        <f>_xlfn.XLOOKUP(B38,Plant_Master!A:A,Plant_Master!B:B)</f>
        <v>Fern</v>
      </c>
      <c r="I38" s="9" t="str">
        <f>_xlfn.XLOOKUP(B38,Plant_Master!A:A,Plant_Master!C:C)</f>
        <v>Flower</v>
      </c>
      <c r="J38" s="13" t="s">
        <v>73</v>
      </c>
    </row>
    <row r="39" spans="1:10" ht="13.2" x14ac:dyDescent="0.25">
      <c r="A39" s="10">
        <v>3158</v>
      </c>
      <c r="B39" s="10">
        <v>1046</v>
      </c>
      <c r="C39" s="10" t="s">
        <v>25</v>
      </c>
      <c r="D39" s="10">
        <v>39</v>
      </c>
      <c r="E39" s="10">
        <v>245</v>
      </c>
      <c r="F39" s="9">
        <f t="shared" si="0"/>
        <v>9555</v>
      </c>
      <c r="G39" s="13" t="s">
        <v>79</v>
      </c>
      <c r="H39" s="9" t="str">
        <f>_xlfn.XLOOKUP(B39,Plant_Master!A:A,Plant_Master!B:B)</f>
        <v>Fern</v>
      </c>
      <c r="I39" s="9" t="str">
        <f>_xlfn.XLOOKUP(B39,Plant_Master!A:A,Plant_Master!C:C)</f>
        <v>Flower</v>
      </c>
      <c r="J39" s="13" t="s">
        <v>73</v>
      </c>
    </row>
    <row r="40" spans="1:10" ht="13.2" x14ac:dyDescent="0.25">
      <c r="A40" s="10">
        <v>3469</v>
      </c>
      <c r="B40" s="10">
        <v>1477</v>
      </c>
      <c r="C40" s="10" t="s">
        <v>14</v>
      </c>
      <c r="D40" s="10">
        <v>48</v>
      </c>
      <c r="E40" s="10">
        <v>76</v>
      </c>
      <c r="F40" s="9">
        <f t="shared" si="0"/>
        <v>3648</v>
      </c>
      <c r="G40" s="9" t="str">
        <f>_xlfn.XLOOKUP(B40,Nursery_Inventory!B:B,Nursery_Inventory!E:E)</f>
        <v>Bangalore</v>
      </c>
      <c r="H40" s="9" t="str">
        <f>_xlfn.XLOOKUP(B40,Plant_Master!A:A,Plant_Master!B:B)</f>
        <v>Lily</v>
      </c>
      <c r="I40" s="9" t="str">
        <f>_xlfn.XLOOKUP(B40,Plant_Master!A:A,Plant_Master!C:C)</f>
        <v>Succulent</v>
      </c>
      <c r="J40" s="9">
        <f>_xlfn.XLOOKUP(B40,Nursery_Inventory!B:B,Nursery_Inventory!C:C)</f>
        <v>398</v>
      </c>
    </row>
    <row r="41" spans="1:10" ht="13.2" x14ac:dyDescent="0.25">
      <c r="A41" s="10">
        <v>3110</v>
      </c>
      <c r="B41" s="10">
        <v>1121</v>
      </c>
      <c r="C41" s="10" t="s">
        <v>7</v>
      </c>
      <c r="D41" s="10">
        <v>38</v>
      </c>
      <c r="E41" s="10">
        <v>425</v>
      </c>
      <c r="F41" s="9">
        <f t="shared" si="0"/>
        <v>16150</v>
      </c>
      <c r="G41" s="13" t="s">
        <v>79</v>
      </c>
      <c r="H41" s="9" t="str">
        <f>_xlfn.XLOOKUP(B41,Plant_Master!A:A,Plant_Master!B:B)</f>
        <v>Rose</v>
      </c>
      <c r="I41" s="9" t="str">
        <f>_xlfn.XLOOKUP(B41,Plant_Master!A:A,Plant_Master!C:C)</f>
        <v>Medicinal</v>
      </c>
      <c r="J41" s="13" t="s">
        <v>73</v>
      </c>
    </row>
    <row r="42" spans="1:10" ht="13.2" x14ac:dyDescent="0.25">
      <c r="A42" s="10">
        <v>3484</v>
      </c>
      <c r="B42" s="10">
        <v>1359</v>
      </c>
      <c r="C42" s="10" t="s">
        <v>14</v>
      </c>
      <c r="D42" s="10">
        <v>48</v>
      </c>
      <c r="E42" s="10">
        <v>191</v>
      </c>
      <c r="F42" s="9">
        <f t="shared" si="0"/>
        <v>9168</v>
      </c>
      <c r="G42" s="13" t="s">
        <v>79</v>
      </c>
      <c r="H42" s="9" t="str">
        <f>_xlfn.XLOOKUP(B42,Plant_Master!A:A,Plant_Master!B:B)</f>
        <v>Cactus</v>
      </c>
      <c r="I42" s="9" t="str">
        <f>_xlfn.XLOOKUP(B42,Plant_Master!A:A,Plant_Master!C:C)</f>
        <v>Flower</v>
      </c>
      <c r="J42" s="13" t="s">
        <v>73</v>
      </c>
    </row>
    <row r="43" spans="1:10" ht="13.2" x14ac:dyDescent="0.25">
      <c r="A43" s="10">
        <v>3416</v>
      </c>
      <c r="B43" s="10">
        <v>1278</v>
      </c>
      <c r="C43" s="10" t="s">
        <v>12</v>
      </c>
      <c r="D43" s="10">
        <v>34</v>
      </c>
      <c r="E43" s="10">
        <v>468</v>
      </c>
      <c r="F43" s="9">
        <f t="shared" si="0"/>
        <v>15912</v>
      </c>
      <c r="G43" s="13" t="s">
        <v>79</v>
      </c>
      <c r="H43" s="9" t="str">
        <f>_xlfn.XLOOKUP(B43,Plant_Master!A:A,Plant_Master!B:B)</f>
        <v>Cactus</v>
      </c>
      <c r="I43" s="9" t="str">
        <f>_xlfn.XLOOKUP(B43,Plant_Master!A:A,Plant_Master!C:C)</f>
        <v>Medicinal</v>
      </c>
      <c r="J43" s="13" t="s">
        <v>73</v>
      </c>
    </row>
    <row r="44" spans="1:10" ht="13.2" x14ac:dyDescent="0.25">
      <c r="A44" s="10">
        <v>3062</v>
      </c>
      <c r="B44" s="10">
        <v>1163</v>
      </c>
      <c r="C44" s="10" t="s">
        <v>9</v>
      </c>
      <c r="D44" s="10">
        <v>46</v>
      </c>
      <c r="E44" s="10">
        <v>199</v>
      </c>
      <c r="F44" s="9">
        <f t="shared" si="0"/>
        <v>9154</v>
      </c>
      <c r="G44" s="13" t="s">
        <v>79</v>
      </c>
      <c r="H44" s="9" t="str">
        <f>_xlfn.XLOOKUP(B44,Plant_Master!A:A,Plant_Master!B:B)</f>
        <v>Jasmine</v>
      </c>
      <c r="I44" s="9" t="str">
        <f>_xlfn.XLOOKUP(B44,Plant_Master!A:A,Plant_Master!C:C)</f>
        <v>Flower</v>
      </c>
      <c r="J44" s="13" t="s">
        <v>73</v>
      </c>
    </row>
    <row r="45" spans="1:10" ht="13.2" x14ac:dyDescent="0.25">
      <c r="A45" s="10">
        <v>3289</v>
      </c>
      <c r="B45" s="10">
        <v>1364</v>
      </c>
      <c r="C45" s="10" t="s">
        <v>12</v>
      </c>
      <c r="D45" s="10">
        <v>33</v>
      </c>
      <c r="E45" s="10">
        <v>491</v>
      </c>
      <c r="F45" s="9">
        <f t="shared" si="0"/>
        <v>16203</v>
      </c>
      <c r="G45" s="9" t="str">
        <f>_xlfn.XLOOKUP(B45,Nursery_Inventory!B:B,Nursery_Inventory!E:E)</f>
        <v>Bangalore</v>
      </c>
      <c r="H45" s="9" t="str">
        <f>_xlfn.XLOOKUP(B45,Plant_Master!A:A,Plant_Master!B:B)</f>
        <v>Orchid</v>
      </c>
      <c r="I45" s="9" t="str">
        <f>_xlfn.XLOOKUP(B45,Plant_Master!A:A,Plant_Master!C:C)</f>
        <v>Succulent</v>
      </c>
      <c r="J45" s="9">
        <f>_xlfn.XLOOKUP(B45,Nursery_Inventory!B:B,Nursery_Inventory!C:C)</f>
        <v>217</v>
      </c>
    </row>
    <row r="46" spans="1:10" ht="13.2" x14ac:dyDescent="0.25">
      <c r="A46" s="10">
        <v>3425</v>
      </c>
      <c r="B46" s="10">
        <v>1167</v>
      </c>
      <c r="C46" s="10" t="s">
        <v>7</v>
      </c>
      <c r="D46" s="10">
        <v>10</v>
      </c>
      <c r="E46" s="10">
        <v>70</v>
      </c>
      <c r="F46" s="9">
        <f t="shared" si="0"/>
        <v>700</v>
      </c>
      <c r="G46" s="9" t="str">
        <f>_xlfn.XLOOKUP(B46,Nursery_Inventory!B:B,Nursery_Inventory!E:E)</f>
        <v>Delhi</v>
      </c>
      <c r="H46" s="9" t="str">
        <f>_xlfn.XLOOKUP(B46,Plant_Master!A:A,Plant_Master!B:B)</f>
        <v>Cactus</v>
      </c>
      <c r="I46" s="9" t="str">
        <f>_xlfn.XLOOKUP(B46,Plant_Master!A:A,Plant_Master!C:C)</f>
        <v>Medicinal</v>
      </c>
      <c r="J46" s="9">
        <f>_xlfn.XLOOKUP(B46,Nursery_Inventory!B:B,Nursery_Inventory!C:C)</f>
        <v>482</v>
      </c>
    </row>
    <row r="47" spans="1:10" ht="13.2" x14ac:dyDescent="0.25">
      <c r="A47" s="10">
        <v>3384</v>
      </c>
      <c r="B47" s="10">
        <v>1128</v>
      </c>
      <c r="C47" s="10" t="s">
        <v>14</v>
      </c>
      <c r="D47" s="10">
        <v>43</v>
      </c>
      <c r="E47" s="10">
        <v>358</v>
      </c>
      <c r="F47" s="9">
        <f t="shared" si="0"/>
        <v>15394</v>
      </c>
      <c r="G47" s="13" t="s">
        <v>79</v>
      </c>
      <c r="H47" s="9" t="str">
        <f>_xlfn.XLOOKUP(B47,Plant_Master!A:A,Plant_Master!B:B)</f>
        <v>Cactus</v>
      </c>
      <c r="I47" s="9" t="str">
        <f>_xlfn.XLOOKUP(B47,Plant_Master!A:A,Plant_Master!C:C)</f>
        <v>Medicinal</v>
      </c>
      <c r="J47" s="13" t="s">
        <v>73</v>
      </c>
    </row>
    <row r="48" spans="1:10" ht="13.2" x14ac:dyDescent="0.25">
      <c r="A48" s="10">
        <v>3500</v>
      </c>
      <c r="B48" s="10">
        <v>1301</v>
      </c>
      <c r="C48" s="10" t="s">
        <v>7</v>
      </c>
      <c r="D48" s="10">
        <v>35</v>
      </c>
      <c r="E48" s="10">
        <v>438</v>
      </c>
      <c r="F48" s="9">
        <f t="shared" si="0"/>
        <v>15330</v>
      </c>
      <c r="G48" s="13" t="s">
        <v>79</v>
      </c>
      <c r="H48" s="9" t="str">
        <f>_xlfn.XLOOKUP(B48,Plant_Master!A:A,Plant_Master!B:B)</f>
        <v>Jasmine</v>
      </c>
      <c r="I48" s="9" t="str">
        <f>_xlfn.XLOOKUP(B48,Plant_Master!A:A,Plant_Master!C:C)</f>
        <v>Medicinal</v>
      </c>
      <c r="J48" s="13" t="s">
        <v>73</v>
      </c>
    </row>
    <row r="49" spans="1:10" ht="13.2" x14ac:dyDescent="0.25">
      <c r="A49" s="10">
        <v>3462</v>
      </c>
      <c r="B49" s="10">
        <v>1274</v>
      </c>
      <c r="C49" s="10" t="s">
        <v>25</v>
      </c>
      <c r="D49" s="10">
        <v>25</v>
      </c>
      <c r="E49" s="10">
        <v>309</v>
      </c>
      <c r="F49" s="9">
        <f t="shared" si="0"/>
        <v>7725</v>
      </c>
      <c r="G49" s="9" t="str">
        <f>_xlfn.XLOOKUP(B49,Nursery_Inventory!B:B,Nursery_Inventory!E:E)</f>
        <v>Pune</v>
      </c>
      <c r="H49" s="9" t="str">
        <f>_xlfn.XLOOKUP(B49,Plant_Master!A:A,Plant_Master!B:B)</f>
        <v>Cactus</v>
      </c>
      <c r="I49" s="9" t="str">
        <f>_xlfn.XLOOKUP(B49,Plant_Master!A:A,Plant_Master!C:C)</f>
        <v>Flower</v>
      </c>
      <c r="J49" s="9">
        <f>_xlfn.XLOOKUP(B49,Nursery_Inventory!B:B,Nursery_Inventory!C:C)</f>
        <v>449</v>
      </c>
    </row>
    <row r="50" spans="1:10" ht="13.2" x14ac:dyDescent="0.25">
      <c r="A50" s="10">
        <v>3192</v>
      </c>
      <c r="B50" s="10">
        <v>1157</v>
      </c>
      <c r="C50" s="10" t="s">
        <v>9</v>
      </c>
      <c r="D50" s="10">
        <v>26</v>
      </c>
      <c r="E50" s="10">
        <v>321</v>
      </c>
      <c r="F50" s="9">
        <f t="shared" si="0"/>
        <v>8346</v>
      </c>
      <c r="G50" s="13" t="s">
        <v>79</v>
      </c>
      <c r="H50" s="9" t="str">
        <f>_xlfn.XLOOKUP(B50,Plant_Master!A:A,Plant_Master!B:B)</f>
        <v>Orchid</v>
      </c>
      <c r="I50" s="9" t="str">
        <f>_xlfn.XLOOKUP(B50,Plant_Master!A:A,Plant_Master!C:C)</f>
        <v>Flower</v>
      </c>
      <c r="J50" s="13" t="s">
        <v>73</v>
      </c>
    </row>
    <row r="51" spans="1:10" ht="13.2" x14ac:dyDescent="0.25">
      <c r="A51" s="10">
        <v>3436</v>
      </c>
      <c r="B51" s="10">
        <v>1238</v>
      </c>
      <c r="C51" s="10" t="s">
        <v>12</v>
      </c>
      <c r="D51" s="10">
        <v>42</v>
      </c>
      <c r="E51" s="10">
        <v>378</v>
      </c>
      <c r="F51" s="9">
        <f t="shared" si="0"/>
        <v>15876</v>
      </c>
      <c r="G51" s="9" t="str">
        <f>_xlfn.XLOOKUP(B51,Nursery_Inventory!B:B,Nursery_Inventory!E:E)</f>
        <v>Bangalore</v>
      </c>
      <c r="H51" s="9" t="str">
        <f>_xlfn.XLOOKUP(B51,Plant_Master!A:A,Plant_Master!B:B)</f>
        <v>Jasmine</v>
      </c>
      <c r="I51" s="9" t="str">
        <f>_xlfn.XLOOKUP(B51,Plant_Master!A:A,Plant_Master!C:C)</f>
        <v>Medicinal</v>
      </c>
      <c r="J51" s="9">
        <f>_xlfn.XLOOKUP(B51,Nursery_Inventory!B:B,Nursery_Inventory!C:C)</f>
        <v>332</v>
      </c>
    </row>
    <row r="52" spans="1:10" ht="13.2" x14ac:dyDescent="0.25">
      <c r="A52" s="10">
        <v>3026</v>
      </c>
      <c r="B52" s="10">
        <v>1315</v>
      </c>
      <c r="C52" s="10" t="s">
        <v>9</v>
      </c>
      <c r="D52" s="10">
        <v>40</v>
      </c>
      <c r="E52" s="10">
        <v>377</v>
      </c>
      <c r="F52" s="9">
        <f t="shared" si="0"/>
        <v>15080</v>
      </c>
      <c r="G52" s="9" t="str">
        <f>_xlfn.XLOOKUP(B52,Nursery_Inventory!B:B,Nursery_Inventory!E:E)</f>
        <v>Bangalore</v>
      </c>
      <c r="H52" s="9" t="str">
        <f>_xlfn.XLOOKUP(B52,Plant_Master!A:A,Plant_Master!B:B)</f>
        <v>Lily</v>
      </c>
      <c r="I52" s="9" t="str">
        <f>_xlfn.XLOOKUP(B52,Plant_Master!A:A,Plant_Master!C:C)</f>
        <v>Succulent</v>
      </c>
      <c r="J52" s="9">
        <f>_xlfn.XLOOKUP(B52,Nursery_Inventory!B:B,Nursery_Inventory!C:C)</f>
        <v>342</v>
      </c>
    </row>
    <row r="53" spans="1:10" ht="13.2" x14ac:dyDescent="0.25">
      <c r="A53" s="10">
        <v>3470</v>
      </c>
      <c r="B53" s="10">
        <v>1477</v>
      </c>
      <c r="C53" s="10" t="s">
        <v>14</v>
      </c>
      <c r="D53" s="10">
        <v>31</v>
      </c>
      <c r="E53" s="10">
        <v>70</v>
      </c>
      <c r="F53" s="9">
        <f t="shared" si="0"/>
        <v>2170</v>
      </c>
      <c r="G53" s="9" t="str">
        <f>_xlfn.XLOOKUP(B53,Nursery_Inventory!B:B,Nursery_Inventory!E:E)</f>
        <v>Bangalore</v>
      </c>
      <c r="H53" s="9" t="str">
        <f>_xlfn.XLOOKUP(B53,Plant_Master!A:A,Plant_Master!B:B)</f>
        <v>Lily</v>
      </c>
      <c r="I53" s="9" t="str">
        <f>_xlfn.XLOOKUP(B53,Plant_Master!A:A,Plant_Master!C:C)</f>
        <v>Succulent</v>
      </c>
      <c r="J53" s="9">
        <f>_xlfn.XLOOKUP(B53,Nursery_Inventory!B:B,Nursery_Inventory!C:C)</f>
        <v>398</v>
      </c>
    </row>
    <row r="54" spans="1:10" ht="13.2" x14ac:dyDescent="0.25">
      <c r="A54" s="10">
        <v>3428</v>
      </c>
      <c r="B54" s="10">
        <v>1127</v>
      </c>
      <c r="C54" s="10" t="s">
        <v>12</v>
      </c>
      <c r="D54" s="10">
        <v>48</v>
      </c>
      <c r="E54" s="10">
        <v>313</v>
      </c>
      <c r="F54" s="9">
        <f t="shared" si="0"/>
        <v>15024</v>
      </c>
      <c r="G54" s="13" t="s">
        <v>79</v>
      </c>
      <c r="H54" s="9" t="str">
        <f>_xlfn.XLOOKUP(B54,Plant_Master!A:A,Plant_Master!B:B)</f>
        <v>Aloe</v>
      </c>
      <c r="I54" s="9" t="str">
        <f>_xlfn.XLOOKUP(B54,Plant_Master!A:A,Plant_Master!C:C)</f>
        <v>Medicinal</v>
      </c>
      <c r="J54" s="13" t="s">
        <v>73</v>
      </c>
    </row>
    <row r="55" spans="1:10" ht="13.2" x14ac:dyDescent="0.25">
      <c r="A55" s="10">
        <v>3059</v>
      </c>
      <c r="B55" s="10">
        <v>1165</v>
      </c>
      <c r="C55" s="10" t="s">
        <v>12</v>
      </c>
      <c r="D55" s="10">
        <v>18</v>
      </c>
      <c r="E55" s="10">
        <v>450</v>
      </c>
      <c r="F55" s="9">
        <f t="shared" si="0"/>
        <v>8100</v>
      </c>
      <c r="G55" s="13" t="s">
        <v>79</v>
      </c>
      <c r="H55" s="9" t="str">
        <f>_xlfn.XLOOKUP(B55,Plant_Master!A:A,Plant_Master!B:B)</f>
        <v>Tulip</v>
      </c>
      <c r="I55" s="9" t="str">
        <f>_xlfn.XLOOKUP(B55,Plant_Master!A:A,Plant_Master!C:C)</f>
        <v>Flower</v>
      </c>
      <c r="J55" s="13" t="s">
        <v>73</v>
      </c>
    </row>
    <row r="56" spans="1:10" ht="13.2" x14ac:dyDescent="0.25">
      <c r="A56" s="10">
        <v>3450</v>
      </c>
      <c r="B56" s="10">
        <v>1147</v>
      </c>
      <c r="C56" s="10" t="s">
        <v>9</v>
      </c>
      <c r="D56" s="10">
        <v>31</v>
      </c>
      <c r="E56" s="10">
        <v>483</v>
      </c>
      <c r="F56" s="9">
        <f t="shared" si="0"/>
        <v>14973</v>
      </c>
      <c r="G56" s="13" t="s">
        <v>79</v>
      </c>
      <c r="H56" s="9" t="str">
        <f>_xlfn.XLOOKUP(B56,Plant_Master!A:A,Plant_Master!B:B)</f>
        <v>Tulip</v>
      </c>
      <c r="I56" s="9" t="str">
        <f>_xlfn.XLOOKUP(B56,Plant_Master!A:A,Plant_Master!C:C)</f>
        <v>Indoor</v>
      </c>
      <c r="J56" s="13" t="s">
        <v>73</v>
      </c>
    </row>
    <row r="57" spans="1:10" ht="13.2" x14ac:dyDescent="0.25">
      <c r="A57" s="10">
        <v>3387</v>
      </c>
      <c r="B57" s="10">
        <v>1496</v>
      </c>
      <c r="C57" s="10" t="s">
        <v>9</v>
      </c>
      <c r="D57" s="10">
        <v>31</v>
      </c>
      <c r="E57" s="10">
        <v>232</v>
      </c>
      <c r="F57" s="9">
        <f t="shared" si="0"/>
        <v>7192</v>
      </c>
      <c r="G57" s="13" t="s">
        <v>79</v>
      </c>
      <c r="H57" s="9" t="str">
        <f>_xlfn.XLOOKUP(B57,Plant_Master!A:A,Plant_Master!B:B)</f>
        <v>Cactus</v>
      </c>
      <c r="I57" s="9" t="str">
        <f>_xlfn.XLOOKUP(B57,Plant_Master!A:A,Plant_Master!C:C)</f>
        <v>Flower</v>
      </c>
      <c r="J57" s="13" t="s">
        <v>73</v>
      </c>
    </row>
    <row r="58" spans="1:10" ht="13.2" x14ac:dyDescent="0.25">
      <c r="A58" s="10">
        <v>3005</v>
      </c>
      <c r="B58" s="10">
        <v>1197</v>
      </c>
      <c r="C58" s="10" t="s">
        <v>14</v>
      </c>
      <c r="D58" s="10">
        <v>50</v>
      </c>
      <c r="E58" s="10">
        <v>295</v>
      </c>
      <c r="F58" s="9">
        <f t="shared" si="0"/>
        <v>14750</v>
      </c>
      <c r="G58" s="13" t="s">
        <v>79</v>
      </c>
      <c r="H58" s="9" t="str">
        <f>_xlfn.XLOOKUP(B58,Plant_Master!A:A,Plant_Master!B:B)</f>
        <v>Orchid</v>
      </c>
      <c r="I58" s="9" t="str">
        <f>_xlfn.XLOOKUP(B58,Plant_Master!A:A,Plant_Master!C:C)</f>
        <v>Indoor</v>
      </c>
      <c r="J58" s="13" t="s">
        <v>73</v>
      </c>
    </row>
    <row r="59" spans="1:10" ht="13.2" x14ac:dyDescent="0.25">
      <c r="A59" s="10">
        <v>3412</v>
      </c>
      <c r="B59" s="10">
        <v>1463</v>
      </c>
      <c r="C59" s="10" t="s">
        <v>9</v>
      </c>
      <c r="D59" s="10">
        <v>50</v>
      </c>
      <c r="E59" s="10">
        <v>295</v>
      </c>
      <c r="F59" s="9">
        <f t="shared" si="0"/>
        <v>14750</v>
      </c>
      <c r="G59" s="9" t="str">
        <f>_xlfn.XLOOKUP(B59,Nursery_Inventory!B:B,Nursery_Inventory!E:E)</f>
        <v>Chennai</v>
      </c>
      <c r="H59" s="9" t="str">
        <f>_xlfn.XLOOKUP(B59,Plant_Master!A:A,Plant_Master!B:B)</f>
        <v>Lily</v>
      </c>
      <c r="I59" s="9" t="str">
        <f>_xlfn.XLOOKUP(B59,Plant_Master!A:A,Plant_Master!C:C)</f>
        <v>Succulent</v>
      </c>
      <c r="J59" s="9">
        <f>_xlfn.XLOOKUP(B59,Nursery_Inventory!B:B,Nursery_Inventory!C:C)</f>
        <v>382</v>
      </c>
    </row>
    <row r="60" spans="1:10" ht="13.2" x14ac:dyDescent="0.25">
      <c r="A60" s="10">
        <v>3055</v>
      </c>
      <c r="B60" s="10">
        <v>1162</v>
      </c>
      <c r="C60" s="10" t="s">
        <v>7</v>
      </c>
      <c r="D60" s="10">
        <v>46</v>
      </c>
      <c r="E60" s="10">
        <v>431</v>
      </c>
      <c r="F60" s="9">
        <f t="shared" si="0"/>
        <v>19826</v>
      </c>
      <c r="G60" s="13" t="s">
        <v>79</v>
      </c>
      <c r="H60" s="9" t="str">
        <f>_xlfn.XLOOKUP(B60,Plant_Master!A:A,Plant_Master!B:B)</f>
        <v>Tulip</v>
      </c>
      <c r="I60" s="9" t="str">
        <f>_xlfn.XLOOKUP(B60,Plant_Master!A:A,Plant_Master!C:C)</f>
        <v>Outdoor</v>
      </c>
      <c r="J60" s="13" t="s">
        <v>73</v>
      </c>
    </row>
    <row r="61" spans="1:10" ht="13.2" x14ac:dyDescent="0.25">
      <c r="A61" s="10">
        <v>3064</v>
      </c>
      <c r="B61" s="10">
        <v>1025</v>
      </c>
      <c r="C61" s="10" t="s">
        <v>9</v>
      </c>
      <c r="D61" s="10">
        <v>35</v>
      </c>
      <c r="E61" s="10">
        <v>195</v>
      </c>
      <c r="F61" s="9">
        <f t="shared" si="0"/>
        <v>6825</v>
      </c>
      <c r="G61" s="13" t="s">
        <v>79</v>
      </c>
      <c r="H61" s="9" t="str">
        <f>_xlfn.XLOOKUP(B61,Plant_Master!A:A,Plant_Master!B:B)</f>
        <v>Lily</v>
      </c>
      <c r="I61" s="9" t="str">
        <f>_xlfn.XLOOKUP(B61,Plant_Master!A:A,Plant_Master!C:C)</f>
        <v>Flower</v>
      </c>
      <c r="J61" s="13" t="s">
        <v>73</v>
      </c>
    </row>
    <row r="62" spans="1:10" ht="13.2" x14ac:dyDescent="0.25">
      <c r="A62" s="10">
        <v>3284</v>
      </c>
      <c r="B62" s="10">
        <v>1362</v>
      </c>
      <c r="C62" s="10" t="s">
        <v>25</v>
      </c>
      <c r="D62" s="10">
        <v>36</v>
      </c>
      <c r="E62" s="10">
        <v>406</v>
      </c>
      <c r="F62" s="9">
        <f t="shared" si="0"/>
        <v>14616</v>
      </c>
      <c r="G62" s="9" t="str">
        <f>_xlfn.XLOOKUP(B62,Nursery_Inventory!B:B,Nursery_Inventory!E:E)</f>
        <v>Chennai</v>
      </c>
      <c r="H62" s="9" t="str">
        <f>_xlfn.XLOOKUP(B62,Plant_Master!A:A,Plant_Master!B:B)</f>
        <v>Jasmine</v>
      </c>
      <c r="I62" s="9" t="str">
        <f>_xlfn.XLOOKUP(B62,Plant_Master!A:A,Plant_Master!C:C)</f>
        <v>Medicinal</v>
      </c>
      <c r="J62" s="9">
        <f>_xlfn.XLOOKUP(B62,Nursery_Inventory!B:B,Nursery_Inventory!C:C)</f>
        <v>75</v>
      </c>
    </row>
    <row r="63" spans="1:10" ht="13.2" x14ac:dyDescent="0.25">
      <c r="A63" s="10">
        <v>3161</v>
      </c>
      <c r="B63" s="10">
        <v>1311</v>
      </c>
      <c r="C63" s="10" t="s">
        <v>25</v>
      </c>
      <c r="D63" s="10">
        <v>28</v>
      </c>
      <c r="E63" s="10">
        <v>240</v>
      </c>
      <c r="F63" s="9">
        <f t="shared" si="0"/>
        <v>6720</v>
      </c>
      <c r="G63" s="13" t="s">
        <v>79</v>
      </c>
      <c r="H63" s="9" t="str">
        <f>_xlfn.XLOOKUP(B63,Plant_Master!A:A,Plant_Master!B:B)</f>
        <v>Palm</v>
      </c>
      <c r="I63" s="9" t="str">
        <f>_xlfn.XLOOKUP(B63,Plant_Master!A:A,Plant_Master!C:C)</f>
        <v>Flower</v>
      </c>
      <c r="J63" s="13" t="s">
        <v>73</v>
      </c>
    </row>
    <row r="64" spans="1:10" ht="13.2" x14ac:dyDescent="0.25">
      <c r="A64" s="10">
        <v>3332</v>
      </c>
      <c r="B64" s="10">
        <v>1065</v>
      </c>
      <c r="C64" s="10" t="s">
        <v>12</v>
      </c>
      <c r="D64" s="10">
        <v>31</v>
      </c>
      <c r="E64" s="10">
        <v>470</v>
      </c>
      <c r="F64" s="9">
        <f t="shared" si="0"/>
        <v>14570</v>
      </c>
      <c r="G64" s="9" t="str">
        <f>_xlfn.XLOOKUP(B64,Nursery_Inventory!B:B,Nursery_Inventory!E:E)</f>
        <v>Bangalore</v>
      </c>
      <c r="H64" s="9" t="str">
        <f>_xlfn.XLOOKUP(B64,Plant_Master!A:A,Plant_Master!B:B)</f>
        <v>Aloe</v>
      </c>
      <c r="I64" s="9" t="str">
        <f>_xlfn.XLOOKUP(B64,Plant_Master!A:A,Plant_Master!C:C)</f>
        <v>Succulent</v>
      </c>
      <c r="J64" s="9">
        <f>_xlfn.XLOOKUP(B64,Nursery_Inventory!B:B,Nursery_Inventory!C:C)</f>
        <v>131</v>
      </c>
    </row>
    <row r="65" spans="1:10" ht="13.2" x14ac:dyDescent="0.25">
      <c r="A65" s="10">
        <v>3232</v>
      </c>
      <c r="B65" s="10">
        <v>1093</v>
      </c>
      <c r="C65" s="10" t="s">
        <v>25</v>
      </c>
      <c r="D65" s="10">
        <v>44</v>
      </c>
      <c r="E65" s="10">
        <v>385</v>
      </c>
      <c r="F65" s="9">
        <f t="shared" si="0"/>
        <v>16940</v>
      </c>
      <c r="G65" s="9" t="str">
        <f>_xlfn.XLOOKUP(B65,Nursery_Inventory!B:B,Nursery_Inventory!E:E)</f>
        <v>Delhi</v>
      </c>
      <c r="H65" s="9" t="str">
        <f>_xlfn.XLOOKUP(B65,Plant_Master!A:A,Plant_Master!B:B)</f>
        <v>Tulip</v>
      </c>
      <c r="I65" s="9" t="str">
        <f>_xlfn.XLOOKUP(B65,Plant_Master!A:A,Plant_Master!C:C)</f>
        <v>Succulent</v>
      </c>
      <c r="J65" s="9">
        <f>_xlfn.XLOOKUP(B65,Nursery_Inventory!B:B,Nursery_Inventory!C:C)</f>
        <v>461</v>
      </c>
    </row>
    <row r="66" spans="1:10" ht="13.2" x14ac:dyDescent="0.25">
      <c r="A66" s="10">
        <v>3218</v>
      </c>
      <c r="B66" s="10">
        <v>1079</v>
      </c>
      <c r="C66" s="10" t="s">
        <v>9</v>
      </c>
      <c r="D66" s="10">
        <v>31</v>
      </c>
      <c r="E66" s="10">
        <v>191</v>
      </c>
      <c r="F66" s="9">
        <f t="shared" ref="F66:F129" si="1">D66*E66</f>
        <v>5921</v>
      </c>
      <c r="G66" s="13" t="s">
        <v>79</v>
      </c>
      <c r="H66" s="9" t="str">
        <f>_xlfn.XLOOKUP(B66,Plant_Master!A:A,Plant_Master!B:B)</f>
        <v>Tulip</v>
      </c>
      <c r="I66" s="9" t="str">
        <f>_xlfn.XLOOKUP(B66,Plant_Master!A:A,Plant_Master!C:C)</f>
        <v>Flower</v>
      </c>
      <c r="J66" s="13" t="s">
        <v>73</v>
      </c>
    </row>
    <row r="67" spans="1:10" ht="13.2" x14ac:dyDescent="0.25">
      <c r="A67" s="10">
        <v>3265</v>
      </c>
      <c r="B67" s="10">
        <v>1348</v>
      </c>
      <c r="C67" s="10" t="s">
        <v>12</v>
      </c>
      <c r="D67" s="10">
        <v>31</v>
      </c>
      <c r="E67" s="10">
        <v>460</v>
      </c>
      <c r="F67" s="9">
        <f t="shared" si="1"/>
        <v>14260</v>
      </c>
      <c r="G67" s="9" t="str">
        <f>_xlfn.XLOOKUP(B67,Nursery_Inventory!B:B,Nursery_Inventory!E:E)</f>
        <v>Chennai</v>
      </c>
      <c r="H67" s="9" t="str">
        <f>_xlfn.XLOOKUP(B67,Plant_Master!A:A,Plant_Master!B:B)</f>
        <v>Tulip</v>
      </c>
      <c r="I67" s="9" t="str">
        <f>_xlfn.XLOOKUP(B67,Plant_Master!A:A,Plant_Master!C:C)</f>
        <v>Succulent</v>
      </c>
      <c r="J67" s="9">
        <f>_xlfn.XLOOKUP(B67,Nursery_Inventory!B:B,Nursery_Inventory!C:C)</f>
        <v>296</v>
      </c>
    </row>
    <row r="68" spans="1:10" ht="13.2" x14ac:dyDescent="0.25">
      <c r="A68" s="10">
        <v>3126</v>
      </c>
      <c r="B68" s="10">
        <v>1262</v>
      </c>
      <c r="C68" s="10" t="s">
        <v>9</v>
      </c>
      <c r="D68" s="10">
        <v>45</v>
      </c>
      <c r="E68" s="10">
        <v>316</v>
      </c>
      <c r="F68" s="9">
        <f t="shared" si="1"/>
        <v>14220</v>
      </c>
      <c r="G68" s="13" t="s">
        <v>79</v>
      </c>
      <c r="H68" s="9" t="str">
        <f>_xlfn.XLOOKUP(B68,Plant_Master!A:A,Plant_Master!B:B)</f>
        <v>Bamboo</v>
      </c>
      <c r="I68" s="9" t="str">
        <f>_xlfn.XLOOKUP(B68,Plant_Master!A:A,Plant_Master!C:C)</f>
        <v>Succulent</v>
      </c>
      <c r="J68" s="13" t="s">
        <v>73</v>
      </c>
    </row>
    <row r="69" spans="1:10" ht="13.2" x14ac:dyDescent="0.25">
      <c r="A69" s="10">
        <v>3050</v>
      </c>
      <c r="B69" s="10">
        <v>1191</v>
      </c>
      <c r="C69" s="10" t="s">
        <v>12</v>
      </c>
      <c r="D69" s="10">
        <v>49</v>
      </c>
      <c r="E69" s="10">
        <v>285</v>
      </c>
      <c r="F69" s="9">
        <f t="shared" si="1"/>
        <v>13965</v>
      </c>
      <c r="G69" s="9" t="str">
        <f>_xlfn.XLOOKUP(B69,Nursery_Inventory!B:B,Nursery_Inventory!E:E)</f>
        <v>Bangalore</v>
      </c>
      <c r="H69" s="9" t="str">
        <f>_xlfn.XLOOKUP(B69,Plant_Master!A:A,Plant_Master!B:B)</f>
        <v>Orchid</v>
      </c>
      <c r="I69" s="9" t="str">
        <f>_xlfn.XLOOKUP(B69,Plant_Master!A:A,Plant_Master!C:C)</f>
        <v>Medicinal</v>
      </c>
      <c r="J69" s="9">
        <f>_xlfn.XLOOKUP(B69,Nursery_Inventory!B:B,Nursery_Inventory!C:C)</f>
        <v>427</v>
      </c>
    </row>
    <row r="70" spans="1:10" ht="13.2" x14ac:dyDescent="0.25">
      <c r="A70" s="10">
        <v>3180</v>
      </c>
      <c r="B70" s="10">
        <v>1394</v>
      </c>
      <c r="C70" s="10" t="s">
        <v>12</v>
      </c>
      <c r="D70" s="10">
        <v>49</v>
      </c>
      <c r="E70" s="10">
        <v>285</v>
      </c>
      <c r="F70" s="9">
        <f t="shared" si="1"/>
        <v>13965</v>
      </c>
      <c r="G70" s="13" t="s">
        <v>79</v>
      </c>
      <c r="H70" s="9" t="str">
        <f>_xlfn.XLOOKUP(B70,Plant_Master!A:A,Plant_Master!B:B)</f>
        <v>Fern</v>
      </c>
      <c r="I70" s="9" t="str">
        <f>_xlfn.XLOOKUP(B70,Plant_Master!A:A,Plant_Master!C:C)</f>
        <v>Indoor</v>
      </c>
      <c r="J70" s="13" t="s">
        <v>73</v>
      </c>
    </row>
    <row r="71" spans="1:10" ht="13.2" x14ac:dyDescent="0.25">
      <c r="A71" s="10">
        <v>3317</v>
      </c>
      <c r="B71" s="10">
        <v>1270</v>
      </c>
      <c r="C71" s="10" t="s">
        <v>7</v>
      </c>
      <c r="D71" s="10">
        <v>45</v>
      </c>
      <c r="E71" s="10">
        <v>181</v>
      </c>
      <c r="F71" s="9">
        <f t="shared" si="1"/>
        <v>8145</v>
      </c>
      <c r="G71" s="13" t="s">
        <v>79</v>
      </c>
      <c r="H71" s="9" t="str">
        <f>_xlfn.XLOOKUP(B71,Plant_Master!A:A,Plant_Master!B:B)</f>
        <v>Lily</v>
      </c>
      <c r="I71" s="9" t="str">
        <f>_xlfn.XLOOKUP(B71,Plant_Master!A:A,Plant_Master!C:C)</f>
        <v>Outdoor</v>
      </c>
      <c r="J71" s="13" t="s">
        <v>73</v>
      </c>
    </row>
    <row r="72" spans="1:10" ht="13.2" x14ac:dyDescent="0.25">
      <c r="A72" s="10">
        <v>3448</v>
      </c>
      <c r="B72" s="10">
        <v>1182</v>
      </c>
      <c r="C72" s="10" t="s">
        <v>7</v>
      </c>
      <c r="D72" s="10">
        <v>33</v>
      </c>
      <c r="E72" s="10">
        <v>323</v>
      </c>
      <c r="F72" s="9">
        <f t="shared" si="1"/>
        <v>10659</v>
      </c>
      <c r="G72" s="9" t="str">
        <f>_xlfn.XLOOKUP(B72,Nursery_Inventory!B:B,Nursery_Inventory!E:E)</f>
        <v>Delhi</v>
      </c>
      <c r="H72" s="9" t="str">
        <f>_xlfn.XLOOKUP(B72,Plant_Master!A:A,Plant_Master!B:B)</f>
        <v>Aloe</v>
      </c>
      <c r="I72" s="9" t="str">
        <f>_xlfn.XLOOKUP(B72,Plant_Master!A:A,Plant_Master!C:C)</f>
        <v>Outdoor</v>
      </c>
      <c r="J72" s="9">
        <f>_xlfn.XLOOKUP(B72,Nursery_Inventory!B:B,Nursery_Inventory!C:C)</f>
        <v>460</v>
      </c>
    </row>
    <row r="73" spans="1:10" ht="13.2" x14ac:dyDescent="0.25">
      <c r="A73" s="10">
        <v>3456</v>
      </c>
      <c r="B73" s="10">
        <v>1400</v>
      </c>
      <c r="C73" s="10" t="s">
        <v>9</v>
      </c>
      <c r="D73" s="10">
        <v>33</v>
      </c>
      <c r="E73" s="10">
        <v>413</v>
      </c>
      <c r="F73" s="9">
        <f t="shared" si="1"/>
        <v>13629</v>
      </c>
      <c r="G73" s="9" t="str">
        <f>_xlfn.XLOOKUP(B73,Nursery_Inventory!B:B,Nursery_Inventory!E:E)</f>
        <v>Bangalore</v>
      </c>
      <c r="H73" s="9" t="str">
        <f>_xlfn.XLOOKUP(B73,Plant_Master!A:A,Plant_Master!B:B)</f>
        <v>Jasmine</v>
      </c>
      <c r="I73" s="9" t="str">
        <f>_xlfn.XLOOKUP(B73,Plant_Master!A:A,Plant_Master!C:C)</f>
        <v>Outdoor</v>
      </c>
      <c r="J73" s="9">
        <f>_xlfn.XLOOKUP(B73,Nursery_Inventory!B:B,Nursery_Inventory!C:C)</f>
        <v>62</v>
      </c>
    </row>
    <row r="74" spans="1:10" ht="13.2" x14ac:dyDescent="0.25">
      <c r="A74" s="10">
        <v>3256</v>
      </c>
      <c r="B74" s="10">
        <v>1493</v>
      </c>
      <c r="C74" s="10" t="s">
        <v>25</v>
      </c>
      <c r="D74" s="10">
        <v>38</v>
      </c>
      <c r="E74" s="10">
        <v>357</v>
      </c>
      <c r="F74" s="9">
        <f t="shared" si="1"/>
        <v>13566</v>
      </c>
      <c r="G74" s="13" t="s">
        <v>79</v>
      </c>
      <c r="H74" s="9" t="str">
        <f>_xlfn.XLOOKUP(B74,Plant_Master!A:A,Plant_Master!B:B)</f>
        <v>Rose</v>
      </c>
      <c r="I74" s="9" t="str">
        <f>_xlfn.XLOOKUP(B74,Plant_Master!A:A,Plant_Master!C:C)</f>
        <v>Indoor</v>
      </c>
      <c r="J74" s="13" t="s">
        <v>73</v>
      </c>
    </row>
    <row r="75" spans="1:10" ht="13.2" x14ac:dyDescent="0.25">
      <c r="A75" s="10">
        <v>3280</v>
      </c>
      <c r="B75" s="10">
        <v>1182</v>
      </c>
      <c r="C75" s="10" t="s">
        <v>14</v>
      </c>
      <c r="D75" s="10">
        <v>50</v>
      </c>
      <c r="E75" s="10">
        <v>78</v>
      </c>
      <c r="F75" s="9">
        <f t="shared" si="1"/>
        <v>3900</v>
      </c>
      <c r="G75" s="9" t="str">
        <f>_xlfn.XLOOKUP(B75,Nursery_Inventory!B:B,Nursery_Inventory!E:E)</f>
        <v>Delhi</v>
      </c>
      <c r="H75" s="9" t="str">
        <f>_xlfn.XLOOKUP(B75,Plant_Master!A:A,Plant_Master!B:B)</f>
        <v>Aloe</v>
      </c>
      <c r="I75" s="9" t="str">
        <f>_xlfn.XLOOKUP(B75,Plant_Master!A:A,Plant_Master!C:C)</f>
        <v>Outdoor</v>
      </c>
      <c r="J75" s="9">
        <f>_xlfn.XLOOKUP(B75,Nursery_Inventory!B:B,Nursery_Inventory!C:C)</f>
        <v>460</v>
      </c>
    </row>
    <row r="76" spans="1:10" ht="13.2" x14ac:dyDescent="0.25">
      <c r="A76" s="10">
        <v>3418</v>
      </c>
      <c r="B76" s="10">
        <v>1289</v>
      </c>
      <c r="C76" s="10" t="s">
        <v>14</v>
      </c>
      <c r="D76" s="10">
        <v>35</v>
      </c>
      <c r="E76" s="10">
        <v>387</v>
      </c>
      <c r="F76" s="9">
        <f t="shared" si="1"/>
        <v>13545</v>
      </c>
      <c r="G76" s="9" t="str">
        <f>_xlfn.XLOOKUP(B76,Nursery_Inventory!B:B,Nursery_Inventory!E:E)</f>
        <v>Bangalore</v>
      </c>
      <c r="H76" s="9" t="str">
        <f>_xlfn.XLOOKUP(B76,Plant_Master!A:A,Plant_Master!B:B)</f>
        <v>Fern</v>
      </c>
      <c r="I76" s="9" t="str">
        <f>_xlfn.XLOOKUP(B76,Plant_Master!A:A,Plant_Master!C:C)</f>
        <v>Medicinal</v>
      </c>
      <c r="J76" s="9">
        <f>_xlfn.XLOOKUP(B76,Nursery_Inventory!B:B,Nursery_Inventory!C:C)</f>
        <v>388</v>
      </c>
    </row>
    <row r="77" spans="1:10" ht="13.2" x14ac:dyDescent="0.25">
      <c r="A77" s="10">
        <v>3390</v>
      </c>
      <c r="B77" s="10">
        <v>1462</v>
      </c>
      <c r="C77" s="10" t="s">
        <v>9</v>
      </c>
      <c r="D77" s="10">
        <v>34</v>
      </c>
      <c r="E77" s="10">
        <v>393</v>
      </c>
      <c r="F77" s="9">
        <f t="shared" si="1"/>
        <v>13362</v>
      </c>
      <c r="G77" s="13" t="s">
        <v>79</v>
      </c>
      <c r="H77" s="9" t="str">
        <f>_xlfn.XLOOKUP(B77,Plant_Master!A:A,Plant_Master!B:B)</f>
        <v>Fern</v>
      </c>
      <c r="I77" s="9" t="str">
        <f>_xlfn.XLOOKUP(B77,Plant_Master!A:A,Plant_Master!C:C)</f>
        <v>Succulent</v>
      </c>
      <c r="J77" s="13" t="s">
        <v>73</v>
      </c>
    </row>
    <row r="78" spans="1:10" ht="13.2" x14ac:dyDescent="0.25">
      <c r="A78" s="10">
        <v>3127</v>
      </c>
      <c r="B78" s="10">
        <v>1182</v>
      </c>
      <c r="C78" s="10" t="s">
        <v>9</v>
      </c>
      <c r="D78" s="10">
        <v>13</v>
      </c>
      <c r="E78" s="10">
        <v>223</v>
      </c>
      <c r="F78" s="9">
        <f t="shared" si="1"/>
        <v>2899</v>
      </c>
      <c r="G78" s="9" t="str">
        <f>_xlfn.XLOOKUP(B78,Nursery_Inventory!B:B,Nursery_Inventory!E:E)</f>
        <v>Delhi</v>
      </c>
      <c r="H78" s="9" t="str">
        <f>_xlfn.XLOOKUP(B78,Plant_Master!A:A,Plant_Master!B:B)</f>
        <v>Aloe</v>
      </c>
      <c r="I78" s="9" t="str">
        <f>_xlfn.XLOOKUP(B78,Plant_Master!A:A,Plant_Master!C:C)</f>
        <v>Outdoor</v>
      </c>
      <c r="J78" s="9">
        <f>_xlfn.XLOOKUP(B78,Nursery_Inventory!B:B,Nursery_Inventory!C:C)</f>
        <v>460</v>
      </c>
    </row>
    <row r="79" spans="1:10" ht="13.2" x14ac:dyDescent="0.25">
      <c r="A79" s="10">
        <v>3175</v>
      </c>
      <c r="B79" s="10">
        <v>1374</v>
      </c>
      <c r="C79" s="10" t="s">
        <v>9</v>
      </c>
      <c r="D79" s="10">
        <v>41</v>
      </c>
      <c r="E79" s="10">
        <v>337</v>
      </c>
      <c r="F79" s="9">
        <f t="shared" si="1"/>
        <v>13817</v>
      </c>
      <c r="G79" s="13" t="s">
        <v>79</v>
      </c>
      <c r="H79" s="9" t="str">
        <f>_xlfn.XLOOKUP(B79,Plant_Master!A:A,Plant_Master!B:B)</f>
        <v>Aloe</v>
      </c>
      <c r="I79" s="9" t="str">
        <f>_xlfn.XLOOKUP(B79,Plant_Master!A:A,Plant_Master!C:C)</f>
        <v>Outdoor</v>
      </c>
      <c r="J79" s="13" t="s">
        <v>73</v>
      </c>
    </row>
    <row r="80" spans="1:10" ht="13.2" x14ac:dyDescent="0.25">
      <c r="A80" s="10">
        <v>3120</v>
      </c>
      <c r="B80" s="10">
        <v>1050</v>
      </c>
      <c r="C80" s="10" t="s">
        <v>14</v>
      </c>
      <c r="D80" s="10">
        <v>41</v>
      </c>
      <c r="E80" s="10">
        <v>294</v>
      </c>
      <c r="F80" s="9">
        <f t="shared" si="1"/>
        <v>12054</v>
      </c>
      <c r="G80" s="13" t="s">
        <v>79</v>
      </c>
      <c r="H80" s="9" t="str">
        <f>_xlfn.XLOOKUP(B80,Plant_Master!A:A,Plant_Master!B:B)</f>
        <v>Tulip</v>
      </c>
      <c r="I80" s="9" t="str">
        <f>_xlfn.XLOOKUP(B80,Plant_Master!A:A,Plant_Master!C:C)</f>
        <v>Outdoor</v>
      </c>
      <c r="J80" s="13" t="s">
        <v>73</v>
      </c>
    </row>
    <row r="81" spans="1:10" ht="13.2" x14ac:dyDescent="0.25">
      <c r="A81" s="10">
        <v>3379</v>
      </c>
      <c r="B81" s="10">
        <v>1490</v>
      </c>
      <c r="C81" s="10" t="s">
        <v>12</v>
      </c>
      <c r="D81" s="10">
        <v>34</v>
      </c>
      <c r="E81" s="10">
        <v>389</v>
      </c>
      <c r="F81" s="9">
        <f t="shared" si="1"/>
        <v>13226</v>
      </c>
      <c r="G81" s="13" t="s">
        <v>79</v>
      </c>
      <c r="H81" s="9" t="str">
        <f>_xlfn.XLOOKUP(B81,Plant_Master!A:A,Plant_Master!B:B)</f>
        <v>Fern</v>
      </c>
      <c r="I81" s="9" t="str">
        <f>_xlfn.XLOOKUP(B81,Plant_Master!A:A,Plant_Master!C:C)</f>
        <v>Medicinal</v>
      </c>
      <c r="J81" s="13" t="s">
        <v>73</v>
      </c>
    </row>
    <row r="82" spans="1:10" ht="13.2" x14ac:dyDescent="0.25">
      <c r="A82" s="10">
        <v>3221</v>
      </c>
      <c r="B82" s="10">
        <v>1284</v>
      </c>
      <c r="C82" s="10" t="s">
        <v>7</v>
      </c>
      <c r="D82" s="10">
        <v>34</v>
      </c>
      <c r="E82" s="10">
        <v>74</v>
      </c>
      <c r="F82" s="9">
        <f t="shared" si="1"/>
        <v>2516</v>
      </c>
      <c r="G82" s="9" t="str">
        <f>_xlfn.XLOOKUP(B82,Nursery_Inventory!B:B,Nursery_Inventory!E:E)</f>
        <v>Pune</v>
      </c>
      <c r="H82" s="9" t="str">
        <f>_xlfn.XLOOKUP(B82,Plant_Master!A:A,Plant_Master!B:B)</f>
        <v>Bamboo</v>
      </c>
      <c r="I82" s="9" t="str">
        <f>_xlfn.XLOOKUP(B82,Plant_Master!A:A,Plant_Master!C:C)</f>
        <v>Succulent</v>
      </c>
      <c r="J82" s="9">
        <f>_xlfn.XLOOKUP(B82,Nursery_Inventory!B:B,Nursery_Inventory!C:C)</f>
        <v>449</v>
      </c>
    </row>
    <row r="83" spans="1:10" ht="13.2" x14ac:dyDescent="0.25">
      <c r="A83" s="10">
        <v>3200</v>
      </c>
      <c r="B83" s="10">
        <v>1370</v>
      </c>
      <c r="C83" s="10" t="s">
        <v>9</v>
      </c>
      <c r="D83" s="10">
        <v>13</v>
      </c>
      <c r="E83" s="10">
        <v>391</v>
      </c>
      <c r="F83" s="9">
        <f t="shared" si="1"/>
        <v>5083</v>
      </c>
      <c r="G83" s="13" t="s">
        <v>79</v>
      </c>
      <c r="H83" s="9" t="str">
        <f>_xlfn.XLOOKUP(B83,Plant_Master!A:A,Plant_Master!B:B)</f>
        <v>Rose</v>
      </c>
      <c r="I83" s="9" t="str">
        <f>_xlfn.XLOOKUP(B83,Plant_Master!A:A,Plant_Master!C:C)</f>
        <v>Flower</v>
      </c>
      <c r="J83" s="13" t="s">
        <v>73</v>
      </c>
    </row>
    <row r="84" spans="1:10" ht="13.2" x14ac:dyDescent="0.25">
      <c r="A84" s="10">
        <v>3176</v>
      </c>
      <c r="B84" s="10">
        <v>1394</v>
      </c>
      <c r="C84" s="10" t="s">
        <v>7</v>
      </c>
      <c r="D84" s="10">
        <v>32</v>
      </c>
      <c r="E84" s="10">
        <v>406</v>
      </c>
      <c r="F84" s="9">
        <f t="shared" si="1"/>
        <v>12992</v>
      </c>
      <c r="G84" s="13" t="s">
        <v>79</v>
      </c>
      <c r="H84" s="9" t="str">
        <f>_xlfn.XLOOKUP(B84,Plant_Master!A:A,Plant_Master!B:B)</f>
        <v>Fern</v>
      </c>
      <c r="I84" s="9" t="str">
        <f>_xlfn.XLOOKUP(B84,Plant_Master!A:A,Plant_Master!C:C)</f>
        <v>Indoor</v>
      </c>
      <c r="J84" s="13" t="s">
        <v>73</v>
      </c>
    </row>
    <row r="85" spans="1:10" ht="13.2" x14ac:dyDescent="0.25">
      <c r="A85" s="10">
        <v>3301</v>
      </c>
      <c r="B85" s="10">
        <v>1095</v>
      </c>
      <c r="C85" s="10" t="s">
        <v>9</v>
      </c>
      <c r="D85" s="10">
        <v>35</v>
      </c>
      <c r="E85" s="10">
        <v>364</v>
      </c>
      <c r="F85" s="9">
        <f t="shared" si="1"/>
        <v>12740</v>
      </c>
      <c r="G85" s="13" t="s">
        <v>79</v>
      </c>
      <c r="H85" s="9" t="str">
        <f>_xlfn.XLOOKUP(B85,Plant_Master!A:A,Plant_Master!B:B)</f>
        <v>Jasmine</v>
      </c>
      <c r="I85" s="9" t="str">
        <f>_xlfn.XLOOKUP(B85,Plant_Master!A:A,Plant_Master!C:C)</f>
        <v>Succulent</v>
      </c>
      <c r="J85" s="13" t="s">
        <v>73</v>
      </c>
    </row>
    <row r="86" spans="1:10" ht="13.2" x14ac:dyDescent="0.25">
      <c r="A86" s="10">
        <v>3313</v>
      </c>
      <c r="B86" s="10">
        <v>1089</v>
      </c>
      <c r="C86" s="10" t="s">
        <v>7</v>
      </c>
      <c r="D86" s="10">
        <v>27</v>
      </c>
      <c r="E86" s="10">
        <v>471</v>
      </c>
      <c r="F86" s="9">
        <f t="shared" si="1"/>
        <v>12717</v>
      </c>
      <c r="G86" s="13" t="s">
        <v>79</v>
      </c>
      <c r="H86" s="9" t="str">
        <f>_xlfn.XLOOKUP(B86,Plant_Master!A:A,Plant_Master!B:B)</f>
        <v>Jasmine</v>
      </c>
      <c r="I86" s="9" t="str">
        <f>_xlfn.XLOOKUP(B86,Plant_Master!A:A,Plant_Master!C:C)</f>
        <v>Indoor</v>
      </c>
      <c r="J86" s="13" t="s">
        <v>73</v>
      </c>
    </row>
    <row r="87" spans="1:10" ht="13.2" x14ac:dyDescent="0.25">
      <c r="A87" s="10">
        <v>3170</v>
      </c>
      <c r="B87" s="10">
        <v>1165</v>
      </c>
      <c r="C87" s="10" t="s">
        <v>12</v>
      </c>
      <c r="D87" s="10">
        <v>27</v>
      </c>
      <c r="E87" s="10">
        <v>188</v>
      </c>
      <c r="F87" s="9">
        <f t="shared" si="1"/>
        <v>5076</v>
      </c>
      <c r="G87" s="13" t="s">
        <v>79</v>
      </c>
      <c r="H87" s="9" t="str">
        <f>_xlfn.XLOOKUP(B87,Plant_Master!A:A,Plant_Master!B:B)</f>
        <v>Tulip</v>
      </c>
      <c r="I87" s="9" t="str">
        <f>_xlfn.XLOOKUP(B87,Plant_Master!A:A,Plant_Master!C:C)</f>
        <v>Flower</v>
      </c>
      <c r="J87" s="13" t="s">
        <v>73</v>
      </c>
    </row>
    <row r="88" spans="1:10" ht="13.2" x14ac:dyDescent="0.25">
      <c r="A88" s="10">
        <v>3077</v>
      </c>
      <c r="B88" s="10">
        <v>1297</v>
      </c>
      <c r="C88" s="10" t="s">
        <v>14</v>
      </c>
      <c r="D88" s="10">
        <v>47</v>
      </c>
      <c r="E88" s="10">
        <v>265</v>
      </c>
      <c r="F88" s="9">
        <f t="shared" si="1"/>
        <v>12455</v>
      </c>
      <c r="G88" s="9" t="str">
        <f>_xlfn.XLOOKUP(B88,Nursery_Inventory!B:B,Nursery_Inventory!E:E)</f>
        <v>Mumbai</v>
      </c>
      <c r="H88" s="9" t="str">
        <f>_xlfn.XLOOKUP(B88,Plant_Master!A:A,Plant_Master!B:B)</f>
        <v>Palm</v>
      </c>
      <c r="I88" s="9" t="str">
        <f>_xlfn.XLOOKUP(B88,Plant_Master!A:A,Plant_Master!C:C)</f>
        <v>Medicinal</v>
      </c>
      <c r="J88" s="9">
        <f>_xlfn.XLOOKUP(B88,Nursery_Inventory!B:B,Nursery_Inventory!C:C)</f>
        <v>235</v>
      </c>
    </row>
    <row r="89" spans="1:10" ht="13.2" x14ac:dyDescent="0.25">
      <c r="A89" s="10">
        <v>3124</v>
      </c>
      <c r="B89" s="10">
        <v>1377</v>
      </c>
      <c r="C89" s="10" t="s">
        <v>12</v>
      </c>
      <c r="D89" s="10">
        <v>50</v>
      </c>
      <c r="E89" s="10">
        <v>249</v>
      </c>
      <c r="F89" s="9">
        <f t="shared" si="1"/>
        <v>12450</v>
      </c>
      <c r="G89" s="13" t="s">
        <v>79</v>
      </c>
      <c r="H89" s="9" t="str">
        <f>_xlfn.XLOOKUP(B89,Plant_Master!A:A,Plant_Master!B:B)</f>
        <v>Rose</v>
      </c>
      <c r="I89" s="9" t="str">
        <f>_xlfn.XLOOKUP(B89,Plant_Master!A:A,Plant_Master!C:C)</f>
        <v>Medicinal</v>
      </c>
      <c r="J89" s="13" t="s">
        <v>73</v>
      </c>
    </row>
    <row r="90" spans="1:10" ht="13.2" x14ac:dyDescent="0.25">
      <c r="A90" s="10">
        <v>3018</v>
      </c>
      <c r="B90" s="10">
        <v>1067</v>
      </c>
      <c r="C90" s="10" t="s">
        <v>25</v>
      </c>
      <c r="D90" s="10">
        <v>40</v>
      </c>
      <c r="E90" s="10">
        <v>131</v>
      </c>
      <c r="F90" s="9">
        <f t="shared" si="1"/>
        <v>5240</v>
      </c>
      <c r="G90" s="9" t="str">
        <f>_xlfn.XLOOKUP(B90,Nursery_Inventory!B:B,Nursery_Inventory!E:E)</f>
        <v>Mumbai</v>
      </c>
      <c r="H90" s="9" t="str">
        <f>_xlfn.XLOOKUP(B90,Plant_Master!A:A,Plant_Master!B:B)</f>
        <v>Cactus</v>
      </c>
      <c r="I90" s="9" t="str">
        <f>_xlfn.XLOOKUP(B90,Plant_Master!A:A,Plant_Master!C:C)</f>
        <v>Outdoor</v>
      </c>
      <c r="J90" s="9">
        <f>_xlfn.XLOOKUP(B90,Nursery_Inventory!B:B,Nursery_Inventory!C:C)</f>
        <v>350</v>
      </c>
    </row>
    <row r="91" spans="1:10" ht="13.2" x14ac:dyDescent="0.25">
      <c r="A91" s="10">
        <v>3001</v>
      </c>
      <c r="B91" s="10">
        <v>1400</v>
      </c>
      <c r="C91" s="10" t="s">
        <v>7</v>
      </c>
      <c r="D91" s="10">
        <v>32</v>
      </c>
      <c r="E91" s="10">
        <v>381</v>
      </c>
      <c r="F91" s="9">
        <f t="shared" si="1"/>
        <v>12192</v>
      </c>
      <c r="G91" s="9" t="str">
        <f>_xlfn.XLOOKUP(B91,Nursery_Inventory!B:B,Nursery_Inventory!E:E)</f>
        <v>Bangalore</v>
      </c>
      <c r="H91" s="9" t="str">
        <f>_xlfn.XLOOKUP(B91,Plant_Master!A:A,Plant_Master!B:B)</f>
        <v>Jasmine</v>
      </c>
      <c r="I91" s="9" t="str">
        <f>_xlfn.XLOOKUP(B91,Plant_Master!A:A,Plant_Master!C:C)</f>
        <v>Outdoor</v>
      </c>
      <c r="J91" s="9">
        <f>_xlfn.XLOOKUP(B91,Nursery_Inventory!B:B,Nursery_Inventory!C:C)</f>
        <v>62</v>
      </c>
    </row>
    <row r="92" spans="1:10" ht="13.2" x14ac:dyDescent="0.25">
      <c r="A92" s="10">
        <v>3092</v>
      </c>
      <c r="B92" s="10">
        <v>1231</v>
      </c>
      <c r="C92" s="10" t="s">
        <v>14</v>
      </c>
      <c r="D92" s="10">
        <v>34</v>
      </c>
      <c r="E92" s="10">
        <v>352</v>
      </c>
      <c r="F92" s="9">
        <f t="shared" si="1"/>
        <v>11968</v>
      </c>
      <c r="G92" s="9" t="str">
        <f>_xlfn.XLOOKUP(B92,Nursery_Inventory!B:B,Nursery_Inventory!E:E)</f>
        <v>Chennai</v>
      </c>
      <c r="H92" s="9" t="str">
        <f>_xlfn.XLOOKUP(B92,Plant_Master!A:A,Plant_Master!B:B)</f>
        <v>Lily</v>
      </c>
      <c r="I92" s="9" t="str">
        <f>_xlfn.XLOOKUP(B92,Plant_Master!A:A,Plant_Master!C:C)</f>
        <v>Succulent</v>
      </c>
      <c r="J92" s="9">
        <f>_xlfn.XLOOKUP(B92,Nursery_Inventory!B:B,Nursery_Inventory!C:C)</f>
        <v>185</v>
      </c>
    </row>
    <row r="93" spans="1:10" ht="13.2" x14ac:dyDescent="0.25">
      <c r="A93" s="10">
        <v>3172</v>
      </c>
      <c r="B93" s="10">
        <v>1284</v>
      </c>
      <c r="C93" s="10" t="s">
        <v>12</v>
      </c>
      <c r="D93" s="10">
        <v>9</v>
      </c>
      <c r="E93" s="10">
        <v>110</v>
      </c>
      <c r="F93" s="9">
        <f t="shared" si="1"/>
        <v>990</v>
      </c>
      <c r="G93" s="9" t="str">
        <f>_xlfn.XLOOKUP(B93,Nursery_Inventory!B:B,Nursery_Inventory!E:E)</f>
        <v>Pune</v>
      </c>
      <c r="H93" s="9" t="str">
        <f>_xlfn.XLOOKUP(B93,Plant_Master!A:A,Plant_Master!B:B)</f>
        <v>Bamboo</v>
      </c>
      <c r="I93" s="9" t="str">
        <f>_xlfn.XLOOKUP(B93,Plant_Master!A:A,Plant_Master!C:C)</f>
        <v>Succulent</v>
      </c>
      <c r="J93" s="9">
        <f>_xlfn.XLOOKUP(B93,Nursery_Inventory!B:B,Nursery_Inventory!C:C)</f>
        <v>449</v>
      </c>
    </row>
    <row r="94" spans="1:10" ht="13.2" x14ac:dyDescent="0.25">
      <c r="A94" s="10">
        <v>3461</v>
      </c>
      <c r="B94" s="10">
        <v>1278</v>
      </c>
      <c r="C94" s="10" t="s">
        <v>14</v>
      </c>
      <c r="D94" s="10">
        <v>35</v>
      </c>
      <c r="E94" s="10">
        <v>336</v>
      </c>
      <c r="F94" s="9">
        <f t="shared" si="1"/>
        <v>11760</v>
      </c>
      <c r="G94" s="13" t="s">
        <v>79</v>
      </c>
      <c r="H94" s="9" t="str">
        <f>_xlfn.XLOOKUP(B94,Plant_Master!A:A,Plant_Master!B:B)</f>
        <v>Cactus</v>
      </c>
      <c r="I94" s="9" t="str">
        <f>_xlfn.XLOOKUP(B94,Plant_Master!A:A,Plant_Master!C:C)</f>
        <v>Medicinal</v>
      </c>
      <c r="J94" s="13" t="s">
        <v>73</v>
      </c>
    </row>
    <row r="95" spans="1:10" ht="13.2" x14ac:dyDescent="0.25">
      <c r="A95" s="10">
        <v>3414</v>
      </c>
      <c r="B95" s="10">
        <v>1434</v>
      </c>
      <c r="C95" s="10" t="s">
        <v>9</v>
      </c>
      <c r="D95" s="10">
        <v>49</v>
      </c>
      <c r="E95" s="10">
        <v>238</v>
      </c>
      <c r="F95" s="9">
        <f t="shared" si="1"/>
        <v>11662</v>
      </c>
      <c r="G95" s="9" t="str">
        <f>_xlfn.XLOOKUP(B95,Nursery_Inventory!B:B,Nursery_Inventory!E:E)</f>
        <v>Chennai</v>
      </c>
      <c r="H95" s="9" t="str">
        <f>_xlfn.XLOOKUP(B95,Plant_Master!A:A,Plant_Master!B:B)</f>
        <v>Palm</v>
      </c>
      <c r="I95" s="9" t="str">
        <f>_xlfn.XLOOKUP(B95,Plant_Master!A:A,Plant_Master!C:C)</f>
        <v>Medicinal</v>
      </c>
      <c r="J95" s="9">
        <f>_xlfn.XLOOKUP(B95,Nursery_Inventory!B:B,Nursery_Inventory!C:C)</f>
        <v>93</v>
      </c>
    </row>
    <row r="96" spans="1:10" ht="13.2" x14ac:dyDescent="0.25">
      <c r="A96" s="10">
        <v>3369</v>
      </c>
      <c r="B96" s="10">
        <v>1284</v>
      </c>
      <c r="C96" s="10" t="s">
        <v>7</v>
      </c>
      <c r="D96" s="10">
        <v>2</v>
      </c>
      <c r="E96" s="10">
        <v>348</v>
      </c>
      <c r="F96" s="9">
        <f t="shared" si="1"/>
        <v>696</v>
      </c>
      <c r="G96" s="9" t="str">
        <f>_xlfn.XLOOKUP(B96,Nursery_Inventory!B:B,Nursery_Inventory!E:E)</f>
        <v>Pune</v>
      </c>
      <c r="H96" s="9" t="str">
        <f>_xlfn.XLOOKUP(B96,Plant_Master!A:A,Plant_Master!B:B)</f>
        <v>Bamboo</v>
      </c>
      <c r="I96" s="9" t="str">
        <f>_xlfn.XLOOKUP(B96,Plant_Master!A:A,Plant_Master!C:C)</f>
        <v>Succulent</v>
      </c>
      <c r="J96" s="9">
        <f>_xlfn.XLOOKUP(B96,Nursery_Inventory!B:B,Nursery_Inventory!C:C)</f>
        <v>449</v>
      </c>
    </row>
    <row r="97" spans="1:10" ht="13.2" x14ac:dyDescent="0.25">
      <c r="A97" s="10">
        <v>3016</v>
      </c>
      <c r="B97" s="10">
        <v>1065</v>
      </c>
      <c r="C97" s="10" t="s">
        <v>7</v>
      </c>
      <c r="D97" s="10">
        <v>44</v>
      </c>
      <c r="E97" s="10">
        <v>263</v>
      </c>
      <c r="F97" s="9">
        <f t="shared" si="1"/>
        <v>11572</v>
      </c>
      <c r="G97" s="9" t="str">
        <f>_xlfn.XLOOKUP(B97,Nursery_Inventory!B:B,Nursery_Inventory!E:E)</f>
        <v>Bangalore</v>
      </c>
      <c r="H97" s="9" t="str">
        <f>_xlfn.XLOOKUP(B97,Plant_Master!A:A,Plant_Master!B:B)</f>
        <v>Aloe</v>
      </c>
      <c r="I97" s="9" t="str">
        <f>_xlfn.XLOOKUP(B97,Plant_Master!A:A,Plant_Master!C:C)</f>
        <v>Succulent</v>
      </c>
      <c r="J97" s="9">
        <f>_xlfn.XLOOKUP(B97,Nursery_Inventory!B:B,Nursery_Inventory!C:C)</f>
        <v>131</v>
      </c>
    </row>
    <row r="98" spans="1:10" ht="13.2" x14ac:dyDescent="0.25">
      <c r="A98" s="10">
        <v>3219</v>
      </c>
      <c r="B98" s="10">
        <v>1307</v>
      </c>
      <c r="C98" s="10" t="s">
        <v>9</v>
      </c>
      <c r="D98" s="10">
        <v>11</v>
      </c>
      <c r="E98" s="10">
        <v>254</v>
      </c>
      <c r="F98" s="9">
        <f t="shared" si="1"/>
        <v>2794</v>
      </c>
      <c r="G98" s="9" t="str">
        <f>_xlfn.XLOOKUP(B98,Nursery_Inventory!B:B,Nursery_Inventory!E:E)</f>
        <v>Pune</v>
      </c>
      <c r="H98" s="9" t="str">
        <f>_xlfn.XLOOKUP(B98,Plant_Master!A:A,Plant_Master!B:B)</f>
        <v>Lily</v>
      </c>
      <c r="I98" s="9" t="str">
        <f>_xlfn.XLOOKUP(B98,Plant_Master!A:A,Plant_Master!C:C)</f>
        <v>Medicinal</v>
      </c>
      <c r="J98" s="9">
        <f>_xlfn.XLOOKUP(B98,Nursery_Inventory!B:B,Nursery_Inventory!C:C)</f>
        <v>442</v>
      </c>
    </row>
    <row r="99" spans="1:10" ht="13.2" x14ac:dyDescent="0.25">
      <c r="A99" s="10">
        <v>3045</v>
      </c>
      <c r="B99" s="10">
        <v>1032</v>
      </c>
      <c r="C99" s="10" t="s">
        <v>14</v>
      </c>
      <c r="D99" s="10">
        <v>39</v>
      </c>
      <c r="E99" s="10">
        <v>62</v>
      </c>
      <c r="F99" s="9">
        <f t="shared" si="1"/>
        <v>2418</v>
      </c>
      <c r="G99" s="13" t="s">
        <v>79</v>
      </c>
      <c r="H99" s="9" t="str">
        <f>_xlfn.XLOOKUP(B99,Plant_Master!A:A,Plant_Master!B:B)</f>
        <v>Bamboo</v>
      </c>
      <c r="I99" s="9" t="str">
        <f>_xlfn.XLOOKUP(B99,Plant_Master!A:A,Plant_Master!C:C)</f>
        <v>Outdoor</v>
      </c>
      <c r="J99" s="13" t="s">
        <v>73</v>
      </c>
    </row>
    <row r="100" spans="1:10" ht="13.2" x14ac:dyDescent="0.25">
      <c r="A100" s="10">
        <v>3363</v>
      </c>
      <c r="B100" s="10">
        <v>1211</v>
      </c>
      <c r="C100" s="10" t="s">
        <v>12</v>
      </c>
      <c r="D100" s="10">
        <v>11</v>
      </c>
      <c r="E100" s="10">
        <v>440</v>
      </c>
      <c r="F100" s="9">
        <f t="shared" si="1"/>
        <v>4840</v>
      </c>
      <c r="G100" s="13" t="s">
        <v>79</v>
      </c>
      <c r="H100" s="9" t="str">
        <f>_xlfn.XLOOKUP(B100,Plant_Master!A:A,Plant_Master!B:B)</f>
        <v>Tulip</v>
      </c>
      <c r="I100" s="9" t="str">
        <f>_xlfn.XLOOKUP(B100,Plant_Master!A:A,Plant_Master!C:C)</f>
        <v>Flower</v>
      </c>
      <c r="J100" s="13" t="s">
        <v>73</v>
      </c>
    </row>
    <row r="101" spans="1:10" ht="13.2" x14ac:dyDescent="0.25">
      <c r="A101" s="10">
        <v>3179</v>
      </c>
      <c r="B101" s="10">
        <v>1394</v>
      </c>
      <c r="C101" s="10" t="s">
        <v>12</v>
      </c>
      <c r="D101" s="10">
        <v>32</v>
      </c>
      <c r="E101" s="10">
        <v>353</v>
      </c>
      <c r="F101" s="9">
        <f t="shared" si="1"/>
        <v>11296</v>
      </c>
      <c r="G101" s="13" t="s">
        <v>79</v>
      </c>
      <c r="H101" s="9" t="str">
        <f>_xlfn.XLOOKUP(B101,Plant_Master!A:A,Plant_Master!B:B)</f>
        <v>Fern</v>
      </c>
      <c r="I101" s="9" t="str">
        <f>_xlfn.XLOOKUP(B101,Plant_Master!A:A,Plant_Master!C:C)</f>
        <v>Indoor</v>
      </c>
      <c r="J101" s="13" t="s">
        <v>73</v>
      </c>
    </row>
    <row r="102" spans="1:10" ht="13.2" x14ac:dyDescent="0.25">
      <c r="A102" s="10">
        <v>3443</v>
      </c>
      <c r="B102" s="10">
        <v>1189</v>
      </c>
      <c r="C102" s="10" t="s">
        <v>14</v>
      </c>
      <c r="D102" s="10">
        <v>30</v>
      </c>
      <c r="E102" s="10">
        <v>62</v>
      </c>
      <c r="F102" s="9">
        <f t="shared" si="1"/>
        <v>1860</v>
      </c>
      <c r="G102" s="9" t="str">
        <f>_xlfn.XLOOKUP(B102,Nursery_Inventory!B:B,Nursery_Inventory!E:E)</f>
        <v>Delhi</v>
      </c>
      <c r="H102" s="9" t="str">
        <f>_xlfn.XLOOKUP(B102,Plant_Master!A:A,Plant_Master!B:B)</f>
        <v>Bamboo</v>
      </c>
      <c r="I102" s="9" t="str">
        <f>_xlfn.XLOOKUP(B102,Plant_Master!A:A,Plant_Master!C:C)</f>
        <v>Medicinal</v>
      </c>
      <c r="J102" s="9">
        <f>_xlfn.XLOOKUP(B102,Nursery_Inventory!B:B,Nursery_Inventory!C:C)</f>
        <v>460</v>
      </c>
    </row>
    <row r="103" spans="1:10" ht="13.2" x14ac:dyDescent="0.25">
      <c r="A103" s="10">
        <v>3458</v>
      </c>
      <c r="B103" s="10">
        <v>1409</v>
      </c>
      <c r="C103" s="10" t="s">
        <v>9</v>
      </c>
      <c r="D103" s="10">
        <v>37</v>
      </c>
      <c r="E103" s="10">
        <v>301</v>
      </c>
      <c r="F103" s="9">
        <f t="shared" si="1"/>
        <v>11137</v>
      </c>
      <c r="G103" s="9" t="str">
        <f>_xlfn.XLOOKUP(B103,Nursery_Inventory!B:B,Nursery_Inventory!E:E)</f>
        <v>Mumbai</v>
      </c>
      <c r="H103" s="9" t="str">
        <f>_xlfn.XLOOKUP(B103,Plant_Master!A:A,Plant_Master!B:B)</f>
        <v>Cactus</v>
      </c>
      <c r="I103" s="9" t="str">
        <f>_xlfn.XLOOKUP(B103,Plant_Master!A:A,Plant_Master!C:C)</f>
        <v>Indoor</v>
      </c>
      <c r="J103" s="9">
        <f>_xlfn.XLOOKUP(B103,Nursery_Inventory!B:B,Nursery_Inventory!C:C)</f>
        <v>118</v>
      </c>
    </row>
    <row r="104" spans="1:10" ht="13.2" x14ac:dyDescent="0.25">
      <c r="A104" s="10">
        <v>3105</v>
      </c>
      <c r="B104" s="10">
        <v>1453</v>
      </c>
      <c r="C104" s="10" t="s">
        <v>14</v>
      </c>
      <c r="D104" s="10">
        <v>33</v>
      </c>
      <c r="E104" s="10">
        <v>335</v>
      </c>
      <c r="F104" s="9">
        <f t="shared" si="1"/>
        <v>11055</v>
      </c>
      <c r="G104" s="9" t="str">
        <f>_xlfn.XLOOKUP(B104,Nursery_Inventory!B:B,Nursery_Inventory!E:E)</f>
        <v>Chennai</v>
      </c>
      <c r="H104" s="9" t="str">
        <f>_xlfn.XLOOKUP(B104,Plant_Master!A:A,Plant_Master!B:B)</f>
        <v>Orchid</v>
      </c>
      <c r="I104" s="9" t="str">
        <f>_xlfn.XLOOKUP(B104,Plant_Master!A:A,Plant_Master!C:C)</f>
        <v>Indoor</v>
      </c>
      <c r="J104" s="9">
        <f>_xlfn.XLOOKUP(B104,Nursery_Inventory!B:B,Nursery_Inventory!C:C)</f>
        <v>211</v>
      </c>
    </row>
    <row r="105" spans="1:10" ht="13.2" x14ac:dyDescent="0.25">
      <c r="A105" s="10">
        <v>3137</v>
      </c>
      <c r="B105" s="10">
        <v>1448</v>
      </c>
      <c r="C105" s="10" t="s">
        <v>7</v>
      </c>
      <c r="D105" s="10">
        <v>10</v>
      </c>
      <c r="E105" s="10">
        <v>464</v>
      </c>
      <c r="F105" s="9">
        <f t="shared" si="1"/>
        <v>4640</v>
      </c>
      <c r="G105" s="13" t="s">
        <v>79</v>
      </c>
      <c r="H105" s="9" t="str">
        <f>_xlfn.XLOOKUP(B105,Plant_Master!A:A,Plant_Master!B:B)</f>
        <v>Lily</v>
      </c>
      <c r="I105" s="9" t="str">
        <f>_xlfn.XLOOKUP(B105,Plant_Master!A:A,Plant_Master!C:C)</f>
        <v>Flower</v>
      </c>
      <c r="J105" s="13" t="s">
        <v>73</v>
      </c>
    </row>
    <row r="106" spans="1:10" ht="13.2" x14ac:dyDescent="0.25">
      <c r="A106" s="10">
        <v>3288</v>
      </c>
      <c r="B106" s="10">
        <v>1275</v>
      </c>
      <c r="C106" s="10" t="s">
        <v>25</v>
      </c>
      <c r="D106" s="10">
        <v>18</v>
      </c>
      <c r="E106" s="10">
        <v>245</v>
      </c>
      <c r="F106" s="9">
        <f t="shared" si="1"/>
        <v>4410</v>
      </c>
      <c r="G106" s="13" t="s">
        <v>79</v>
      </c>
      <c r="H106" s="9" t="str">
        <f>_xlfn.XLOOKUP(B106,Plant_Master!A:A,Plant_Master!B:B)</f>
        <v>Fern</v>
      </c>
      <c r="I106" s="9" t="str">
        <f>_xlfn.XLOOKUP(B106,Plant_Master!A:A,Plant_Master!C:C)</f>
        <v>Flower</v>
      </c>
      <c r="J106" s="13" t="s">
        <v>73</v>
      </c>
    </row>
    <row r="107" spans="1:10" ht="13.2" x14ac:dyDescent="0.25">
      <c r="A107" s="10">
        <v>3271</v>
      </c>
      <c r="B107" s="10">
        <v>1163</v>
      </c>
      <c r="C107" s="10" t="s">
        <v>14</v>
      </c>
      <c r="D107" s="10">
        <v>25</v>
      </c>
      <c r="E107" s="10">
        <v>156</v>
      </c>
      <c r="F107" s="9">
        <f t="shared" si="1"/>
        <v>3900</v>
      </c>
      <c r="G107" s="13" t="s">
        <v>79</v>
      </c>
      <c r="H107" s="9" t="str">
        <f>_xlfn.XLOOKUP(B107,Plant_Master!A:A,Plant_Master!B:B)</f>
        <v>Jasmine</v>
      </c>
      <c r="I107" s="9" t="str">
        <f>_xlfn.XLOOKUP(B107,Plant_Master!A:A,Plant_Master!C:C)</f>
        <v>Flower</v>
      </c>
      <c r="J107" s="13" t="s">
        <v>73</v>
      </c>
    </row>
    <row r="108" spans="1:10" ht="13.2" x14ac:dyDescent="0.25">
      <c r="A108" s="10">
        <v>3432</v>
      </c>
      <c r="B108" s="10">
        <v>1025</v>
      </c>
      <c r="C108" s="10" t="s">
        <v>25</v>
      </c>
      <c r="D108" s="10">
        <v>10</v>
      </c>
      <c r="E108" s="10">
        <v>338</v>
      </c>
      <c r="F108" s="9">
        <f t="shared" si="1"/>
        <v>3380</v>
      </c>
      <c r="G108" s="13" t="s">
        <v>79</v>
      </c>
      <c r="H108" s="9" t="str">
        <f>_xlfn.XLOOKUP(B108,Plant_Master!A:A,Plant_Master!B:B)</f>
        <v>Lily</v>
      </c>
      <c r="I108" s="9" t="str">
        <f>_xlfn.XLOOKUP(B108,Plant_Master!A:A,Plant_Master!C:C)</f>
        <v>Flower</v>
      </c>
      <c r="J108" s="13" t="s">
        <v>73</v>
      </c>
    </row>
    <row r="109" spans="1:10" ht="13.2" x14ac:dyDescent="0.25">
      <c r="A109" s="10">
        <v>3351</v>
      </c>
      <c r="B109" s="10">
        <v>1256</v>
      </c>
      <c r="C109" s="10" t="s">
        <v>14</v>
      </c>
      <c r="D109" s="10">
        <v>19</v>
      </c>
      <c r="E109" s="10">
        <v>124</v>
      </c>
      <c r="F109" s="9">
        <f t="shared" si="1"/>
        <v>2356</v>
      </c>
      <c r="G109" s="9" t="str">
        <f>_xlfn.XLOOKUP(B109,Nursery_Inventory!B:B,Nursery_Inventory!E:E)</f>
        <v>Bangalore</v>
      </c>
      <c r="H109" s="9" t="str">
        <f>_xlfn.XLOOKUP(B109,Plant_Master!A:A,Plant_Master!B:B)</f>
        <v>Palm</v>
      </c>
      <c r="I109" s="9" t="str">
        <f>_xlfn.XLOOKUP(B109,Plant_Master!A:A,Plant_Master!C:C)</f>
        <v>Succulent</v>
      </c>
      <c r="J109" s="9">
        <f>_xlfn.XLOOKUP(B109,Nursery_Inventory!B:B,Nursery_Inventory!C:C)</f>
        <v>290</v>
      </c>
    </row>
    <row r="110" spans="1:10" ht="13.2" x14ac:dyDescent="0.25">
      <c r="A110" s="10">
        <v>3116</v>
      </c>
      <c r="B110" s="10">
        <v>1447</v>
      </c>
      <c r="C110" s="10" t="s">
        <v>25</v>
      </c>
      <c r="D110" s="10">
        <v>37</v>
      </c>
      <c r="E110" s="10">
        <v>390</v>
      </c>
      <c r="F110" s="9">
        <f t="shared" si="1"/>
        <v>14430</v>
      </c>
      <c r="G110" s="13" t="s">
        <v>79</v>
      </c>
      <c r="H110" s="9" t="str">
        <f>_xlfn.XLOOKUP(B110,Plant_Master!A:A,Plant_Master!B:B)</f>
        <v>Palm</v>
      </c>
      <c r="I110" s="9" t="str">
        <f>_xlfn.XLOOKUP(B110,Plant_Master!A:A,Plant_Master!C:C)</f>
        <v>Outdoor</v>
      </c>
      <c r="J110" s="13" t="s">
        <v>73</v>
      </c>
    </row>
    <row r="111" spans="1:10" ht="13.2" x14ac:dyDescent="0.25">
      <c r="A111" s="10">
        <v>3129</v>
      </c>
      <c r="B111" s="10">
        <v>1096</v>
      </c>
      <c r="C111" s="10" t="s">
        <v>7</v>
      </c>
      <c r="D111" s="10">
        <v>36</v>
      </c>
      <c r="E111" s="10">
        <v>295</v>
      </c>
      <c r="F111" s="9">
        <f t="shared" si="1"/>
        <v>10620</v>
      </c>
      <c r="G111" s="13" t="s">
        <v>79</v>
      </c>
      <c r="H111" s="9" t="str">
        <f>_xlfn.XLOOKUP(B111,Plant_Master!A:A,Plant_Master!B:B)</f>
        <v>Rose</v>
      </c>
      <c r="I111" s="9" t="str">
        <f>_xlfn.XLOOKUP(B111,Plant_Master!A:A,Plant_Master!C:C)</f>
        <v>Indoor</v>
      </c>
      <c r="J111" s="13" t="s">
        <v>73</v>
      </c>
    </row>
    <row r="112" spans="1:10" ht="13.2" x14ac:dyDescent="0.25">
      <c r="A112" s="10">
        <v>3246</v>
      </c>
      <c r="B112" s="10">
        <v>1432</v>
      </c>
      <c r="C112" s="10" t="s">
        <v>25</v>
      </c>
      <c r="D112" s="10">
        <v>37</v>
      </c>
      <c r="E112" s="10">
        <v>215</v>
      </c>
      <c r="F112" s="9">
        <f t="shared" si="1"/>
        <v>7955</v>
      </c>
      <c r="G112" s="13" t="s">
        <v>79</v>
      </c>
      <c r="H112" s="9" t="str">
        <f>_xlfn.XLOOKUP(B112,Plant_Master!A:A,Plant_Master!B:B)</f>
        <v>Lily</v>
      </c>
      <c r="I112" s="9" t="str">
        <f>_xlfn.XLOOKUP(B112,Plant_Master!A:A,Plant_Master!C:C)</f>
        <v>Outdoor</v>
      </c>
      <c r="J112" s="13" t="s">
        <v>73</v>
      </c>
    </row>
    <row r="113" spans="1:10" ht="13.2" x14ac:dyDescent="0.25">
      <c r="A113" s="10">
        <v>3123</v>
      </c>
      <c r="B113" s="10">
        <v>1189</v>
      </c>
      <c r="C113" s="10" t="s">
        <v>12</v>
      </c>
      <c r="D113" s="10">
        <v>4</v>
      </c>
      <c r="E113" s="10">
        <v>51</v>
      </c>
      <c r="F113" s="9">
        <f t="shared" si="1"/>
        <v>204</v>
      </c>
      <c r="G113" s="9" t="str">
        <f>_xlfn.XLOOKUP(B113,Nursery_Inventory!B:B,Nursery_Inventory!E:E)</f>
        <v>Delhi</v>
      </c>
      <c r="H113" s="9" t="str">
        <f>_xlfn.XLOOKUP(B113,Plant_Master!A:A,Plant_Master!B:B)</f>
        <v>Bamboo</v>
      </c>
      <c r="I113" s="9" t="str">
        <f>_xlfn.XLOOKUP(B113,Plant_Master!A:A,Plant_Master!C:C)</f>
        <v>Medicinal</v>
      </c>
      <c r="J113" s="9">
        <f>_xlfn.XLOOKUP(B113,Nursery_Inventory!B:B,Nursery_Inventory!C:C)</f>
        <v>460</v>
      </c>
    </row>
    <row r="114" spans="1:10" ht="13.2" x14ac:dyDescent="0.25">
      <c r="A114" s="10">
        <v>3455</v>
      </c>
      <c r="B114" s="10">
        <v>1334</v>
      </c>
      <c r="C114" s="10" t="s">
        <v>12</v>
      </c>
      <c r="D114" s="10">
        <v>46</v>
      </c>
      <c r="E114" s="10">
        <v>409</v>
      </c>
      <c r="F114" s="9">
        <f t="shared" si="1"/>
        <v>18814</v>
      </c>
      <c r="G114" s="9" t="str">
        <f>_xlfn.XLOOKUP(B114,Nursery_Inventory!B:B,Nursery_Inventory!E:E)</f>
        <v>Pune</v>
      </c>
      <c r="H114" s="9" t="str">
        <f>_xlfn.XLOOKUP(B114,Plant_Master!A:A,Plant_Master!B:B)</f>
        <v>Tulip</v>
      </c>
      <c r="I114" s="9" t="str">
        <f>_xlfn.XLOOKUP(B114,Plant_Master!A:A,Plant_Master!C:C)</f>
        <v>Medicinal</v>
      </c>
      <c r="J114" s="9">
        <f>_xlfn.XLOOKUP(B114,Nursery_Inventory!B:B,Nursery_Inventory!C:C)</f>
        <v>435</v>
      </c>
    </row>
    <row r="115" spans="1:10" ht="13.2" x14ac:dyDescent="0.25">
      <c r="A115" s="10">
        <v>3035</v>
      </c>
      <c r="B115" s="10">
        <v>1496</v>
      </c>
      <c r="C115" s="10" t="s">
        <v>9</v>
      </c>
      <c r="D115" s="10">
        <v>15</v>
      </c>
      <c r="E115" s="10">
        <v>192</v>
      </c>
      <c r="F115" s="9">
        <f t="shared" si="1"/>
        <v>2880</v>
      </c>
      <c r="G115" s="13" t="s">
        <v>79</v>
      </c>
      <c r="H115" s="9" t="str">
        <f>_xlfn.XLOOKUP(B115,Plant_Master!A:A,Plant_Master!B:B)</f>
        <v>Cactus</v>
      </c>
      <c r="I115" s="9" t="str">
        <f>_xlfn.XLOOKUP(B115,Plant_Master!A:A,Plant_Master!C:C)</f>
        <v>Flower</v>
      </c>
      <c r="J115" s="13" t="s">
        <v>73</v>
      </c>
    </row>
    <row r="116" spans="1:10" ht="13.2" x14ac:dyDescent="0.25">
      <c r="A116" s="10">
        <v>3495</v>
      </c>
      <c r="B116" s="10">
        <v>1231</v>
      </c>
      <c r="C116" s="10" t="s">
        <v>12</v>
      </c>
      <c r="D116" s="10">
        <v>28</v>
      </c>
      <c r="E116" s="10">
        <v>370</v>
      </c>
      <c r="F116" s="9">
        <f t="shared" si="1"/>
        <v>10360</v>
      </c>
      <c r="G116" s="9" t="str">
        <f>_xlfn.XLOOKUP(B116,Nursery_Inventory!B:B,Nursery_Inventory!E:E)</f>
        <v>Chennai</v>
      </c>
      <c r="H116" s="9" t="str">
        <f>_xlfn.XLOOKUP(B116,Plant_Master!A:A,Plant_Master!B:B)</f>
        <v>Lily</v>
      </c>
      <c r="I116" s="9" t="str">
        <f>_xlfn.XLOOKUP(B116,Plant_Master!A:A,Plant_Master!C:C)</f>
        <v>Succulent</v>
      </c>
      <c r="J116" s="9">
        <f>_xlfn.XLOOKUP(B116,Nursery_Inventory!B:B,Nursery_Inventory!C:C)</f>
        <v>185</v>
      </c>
    </row>
    <row r="117" spans="1:10" ht="13.2" x14ac:dyDescent="0.25">
      <c r="A117" s="10">
        <v>3087</v>
      </c>
      <c r="B117" s="10">
        <v>1246</v>
      </c>
      <c r="C117" s="10" t="s">
        <v>14</v>
      </c>
      <c r="D117" s="10">
        <v>41</v>
      </c>
      <c r="E117" s="10">
        <v>252</v>
      </c>
      <c r="F117" s="9">
        <f t="shared" si="1"/>
        <v>10332</v>
      </c>
      <c r="G117" s="13" t="s">
        <v>79</v>
      </c>
      <c r="H117" s="9" t="str">
        <f>_xlfn.XLOOKUP(B117,Plant_Master!A:A,Plant_Master!B:B)</f>
        <v>Orchid</v>
      </c>
      <c r="I117" s="9" t="str">
        <f>_xlfn.XLOOKUP(B117,Plant_Master!A:A,Plant_Master!C:C)</f>
        <v>Succulent</v>
      </c>
      <c r="J117" s="13" t="s">
        <v>73</v>
      </c>
    </row>
    <row r="118" spans="1:10" ht="13.2" x14ac:dyDescent="0.25">
      <c r="A118" s="10">
        <v>3286</v>
      </c>
      <c r="B118" s="10">
        <v>1496</v>
      </c>
      <c r="C118" s="10" t="s">
        <v>9</v>
      </c>
      <c r="D118" s="10">
        <v>12</v>
      </c>
      <c r="E118" s="10">
        <v>186</v>
      </c>
      <c r="F118" s="9">
        <f t="shared" si="1"/>
        <v>2232</v>
      </c>
      <c r="G118" s="13" t="s">
        <v>79</v>
      </c>
      <c r="H118" s="9" t="str">
        <f>_xlfn.XLOOKUP(B118,Plant_Master!A:A,Plant_Master!B:B)</f>
        <v>Cactus</v>
      </c>
      <c r="I118" s="9" t="str">
        <f>_xlfn.XLOOKUP(B118,Plant_Master!A:A,Plant_Master!C:C)</f>
        <v>Flower</v>
      </c>
      <c r="J118" s="13" t="s">
        <v>73</v>
      </c>
    </row>
    <row r="119" spans="1:10" ht="13.2" x14ac:dyDescent="0.25">
      <c r="A119" s="10">
        <v>3014</v>
      </c>
      <c r="B119" s="10">
        <v>1497</v>
      </c>
      <c r="C119" s="10" t="s">
        <v>9</v>
      </c>
      <c r="D119" s="10">
        <v>28</v>
      </c>
      <c r="E119" s="10">
        <v>69</v>
      </c>
      <c r="F119" s="9">
        <f t="shared" si="1"/>
        <v>1932</v>
      </c>
      <c r="G119" s="13" t="s">
        <v>79</v>
      </c>
      <c r="H119" s="9" t="str">
        <f>_xlfn.XLOOKUP(B119,Plant_Master!A:A,Plant_Master!B:B)</f>
        <v>Fern</v>
      </c>
      <c r="I119" s="9" t="str">
        <f>_xlfn.XLOOKUP(B119,Plant_Master!A:A,Plant_Master!C:C)</f>
        <v>Flower</v>
      </c>
      <c r="J119" s="13" t="s">
        <v>73</v>
      </c>
    </row>
    <row r="120" spans="1:10" ht="13.2" x14ac:dyDescent="0.25">
      <c r="A120" s="10">
        <v>3152</v>
      </c>
      <c r="B120" s="10">
        <v>1443</v>
      </c>
      <c r="C120" s="10" t="s">
        <v>14</v>
      </c>
      <c r="D120" s="10">
        <v>16</v>
      </c>
      <c r="E120" s="10">
        <v>200</v>
      </c>
      <c r="F120" s="9">
        <f t="shared" si="1"/>
        <v>3200</v>
      </c>
      <c r="G120" s="9" t="str">
        <f>_xlfn.XLOOKUP(B120,Nursery_Inventory!B:B,Nursery_Inventory!E:E)</f>
        <v>Pune</v>
      </c>
      <c r="H120" s="9" t="str">
        <f>_xlfn.XLOOKUP(B120,Plant_Master!A:A,Plant_Master!B:B)</f>
        <v>Jasmine</v>
      </c>
      <c r="I120" s="9" t="str">
        <f>_xlfn.XLOOKUP(B120,Plant_Master!A:A,Plant_Master!C:C)</f>
        <v>Succulent</v>
      </c>
      <c r="J120" s="9">
        <f>_xlfn.XLOOKUP(B120,Nursery_Inventory!B:B,Nursery_Inventory!C:C)</f>
        <v>435</v>
      </c>
    </row>
    <row r="121" spans="1:10" ht="13.2" x14ac:dyDescent="0.25">
      <c r="A121" s="10">
        <v>3155</v>
      </c>
      <c r="B121" s="10">
        <v>1140</v>
      </c>
      <c r="C121" s="10" t="s">
        <v>14</v>
      </c>
      <c r="D121" s="10">
        <v>30</v>
      </c>
      <c r="E121" s="10">
        <v>330</v>
      </c>
      <c r="F121" s="9">
        <f t="shared" si="1"/>
        <v>9900</v>
      </c>
      <c r="G121" s="13" t="s">
        <v>79</v>
      </c>
      <c r="H121" s="9" t="str">
        <f>_xlfn.XLOOKUP(B121,Plant_Master!A:A,Plant_Master!B:B)</f>
        <v>Cactus</v>
      </c>
      <c r="I121" s="9" t="str">
        <f>_xlfn.XLOOKUP(B121,Plant_Master!A:A,Plant_Master!C:C)</f>
        <v>Succulent</v>
      </c>
      <c r="J121" s="13" t="s">
        <v>73</v>
      </c>
    </row>
    <row r="122" spans="1:10" ht="13.2" x14ac:dyDescent="0.25">
      <c r="A122" s="10">
        <v>3201</v>
      </c>
      <c r="B122" s="10">
        <v>1088</v>
      </c>
      <c r="C122" s="10" t="s">
        <v>9</v>
      </c>
      <c r="D122" s="10">
        <v>44</v>
      </c>
      <c r="E122" s="10">
        <v>238</v>
      </c>
      <c r="F122" s="9">
        <f t="shared" si="1"/>
        <v>10472</v>
      </c>
      <c r="G122" s="9" t="str">
        <f>_xlfn.XLOOKUP(B122,Nursery_Inventory!B:B,Nursery_Inventory!E:E)</f>
        <v>Bangalore</v>
      </c>
      <c r="H122" s="9" t="str">
        <f>_xlfn.XLOOKUP(B122,Plant_Master!A:A,Plant_Master!B:B)</f>
        <v>Rose</v>
      </c>
      <c r="I122" s="9" t="str">
        <f>_xlfn.XLOOKUP(B122,Plant_Master!A:A,Plant_Master!C:C)</f>
        <v>Flower</v>
      </c>
      <c r="J122" s="9">
        <f>_xlfn.XLOOKUP(B122,Nursery_Inventory!B:B,Nursery_Inventory!C:C)</f>
        <v>88</v>
      </c>
    </row>
    <row r="123" spans="1:10" ht="13.2" x14ac:dyDescent="0.25">
      <c r="A123" s="10">
        <v>3343</v>
      </c>
      <c r="B123" s="10">
        <v>1296</v>
      </c>
      <c r="C123" s="10" t="s">
        <v>9</v>
      </c>
      <c r="D123" s="10">
        <v>36</v>
      </c>
      <c r="E123" s="10">
        <v>142</v>
      </c>
      <c r="F123" s="9">
        <f t="shared" si="1"/>
        <v>5112</v>
      </c>
      <c r="G123" s="13" t="s">
        <v>79</v>
      </c>
      <c r="H123" s="9" t="str">
        <f>_xlfn.XLOOKUP(B123,Plant_Master!A:A,Plant_Master!B:B)</f>
        <v>Jasmine</v>
      </c>
      <c r="I123" s="9" t="str">
        <f>_xlfn.XLOOKUP(B123,Plant_Master!A:A,Plant_Master!C:C)</f>
        <v>Outdoor</v>
      </c>
      <c r="J123" s="13" t="s">
        <v>73</v>
      </c>
    </row>
    <row r="124" spans="1:10" ht="13.2" x14ac:dyDescent="0.25">
      <c r="A124" s="10">
        <v>3281</v>
      </c>
      <c r="B124" s="10">
        <v>1101</v>
      </c>
      <c r="C124" s="10" t="s">
        <v>12</v>
      </c>
      <c r="D124" s="10">
        <v>32</v>
      </c>
      <c r="E124" s="10">
        <v>304</v>
      </c>
      <c r="F124" s="9">
        <f t="shared" si="1"/>
        <v>9728</v>
      </c>
      <c r="G124" s="9" t="str">
        <f>_xlfn.XLOOKUP(B124,Nursery_Inventory!B:B,Nursery_Inventory!E:E)</f>
        <v>Mumbai</v>
      </c>
      <c r="H124" s="9" t="str">
        <f>_xlfn.XLOOKUP(B124,Plant_Master!A:A,Plant_Master!B:B)</f>
        <v>Orchid</v>
      </c>
      <c r="I124" s="9" t="str">
        <f>_xlfn.XLOOKUP(B124,Plant_Master!A:A,Plant_Master!C:C)</f>
        <v>Medicinal</v>
      </c>
      <c r="J124" s="9">
        <f>_xlfn.XLOOKUP(B124,Nursery_Inventory!B:B,Nursery_Inventory!C:C)</f>
        <v>362</v>
      </c>
    </row>
    <row r="125" spans="1:10" ht="13.2" x14ac:dyDescent="0.25">
      <c r="A125" s="10">
        <v>3238</v>
      </c>
      <c r="B125" s="10">
        <v>1325</v>
      </c>
      <c r="C125" s="10" t="s">
        <v>12</v>
      </c>
      <c r="D125" s="10">
        <v>10</v>
      </c>
      <c r="E125" s="10">
        <v>456</v>
      </c>
      <c r="F125" s="9">
        <f t="shared" si="1"/>
        <v>4560</v>
      </c>
      <c r="G125" s="9" t="str">
        <f>_xlfn.XLOOKUP(B125,Nursery_Inventory!B:B,Nursery_Inventory!E:E)</f>
        <v>Pune</v>
      </c>
      <c r="H125" s="9" t="str">
        <f>_xlfn.XLOOKUP(B125,Plant_Master!A:A,Plant_Master!B:B)</f>
        <v>Bamboo</v>
      </c>
      <c r="I125" s="9" t="str">
        <f>_xlfn.XLOOKUP(B125,Plant_Master!A:A,Plant_Master!C:C)</f>
        <v>Outdoor</v>
      </c>
      <c r="J125" s="9">
        <f>_xlfn.XLOOKUP(B125,Nursery_Inventory!B:B,Nursery_Inventory!C:C)</f>
        <v>423</v>
      </c>
    </row>
    <row r="126" spans="1:10" ht="13.2" x14ac:dyDescent="0.25">
      <c r="A126" s="10">
        <v>3282</v>
      </c>
      <c r="B126" s="10">
        <v>1003</v>
      </c>
      <c r="C126" s="10" t="s">
        <v>14</v>
      </c>
      <c r="D126" s="10">
        <v>37</v>
      </c>
      <c r="E126" s="10">
        <v>262</v>
      </c>
      <c r="F126" s="9">
        <f t="shared" si="1"/>
        <v>9694</v>
      </c>
      <c r="G126" s="13" t="s">
        <v>79</v>
      </c>
      <c r="H126" s="9" t="str">
        <f>_xlfn.XLOOKUP(B126,Plant_Master!A:A,Plant_Master!B:B)</f>
        <v>Rose</v>
      </c>
      <c r="I126" s="9" t="str">
        <f>_xlfn.XLOOKUP(B126,Plant_Master!A:A,Plant_Master!C:C)</f>
        <v>Indoor</v>
      </c>
      <c r="J126" s="13" t="s">
        <v>73</v>
      </c>
    </row>
    <row r="127" spans="1:10" ht="13.2" x14ac:dyDescent="0.25">
      <c r="A127" s="10">
        <v>3247</v>
      </c>
      <c r="B127" s="10">
        <v>1198</v>
      </c>
      <c r="C127" s="10" t="s">
        <v>25</v>
      </c>
      <c r="D127" s="10">
        <v>18</v>
      </c>
      <c r="E127" s="10">
        <v>105</v>
      </c>
      <c r="F127" s="9">
        <f t="shared" si="1"/>
        <v>1890</v>
      </c>
      <c r="G127" s="13" t="s">
        <v>79</v>
      </c>
      <c r="H127" s="9" t="str">
        <f>_xlfn.XLOOKUP(B127,Plant_Master!A:A,Plant_Master!B:B)</f>
        <v>Rose</v>
      </c>
      <c r="I127" s="9" t="str">
        <f>_xlfn.XLOOKUP(B127,Plant_Master!A:A,Plant_Master!C:C)</f>
        <v>Flower</v>
      </c>
      <c r="J127" s="13" t="s">
        <v>73</v>
      </c>
    </row>
    <row r="128" spans="1:10" ht="13.2" x14ac:dyDescent="0.25">
      <c r="A128" s="10">
        <v>3419</v>
      </c>
      <c r="B128" s="10">
        <v>1024</v>
      </c>
      <c r="C128" s="10" t="s">
        <v>7</v>
      </c>
      <c r="D128" s="10">
        <v>35</v>
      </c>
      <c r="E128" s="10">
        <v>322</v>
      </c>
      <c r="F128" s="9">
        <f t="shared" si="1"/>
        <v>11270</v>
      </c>
      <c r="G128" s="9" t="str">
        <f>_xlfn.XLOOKUP(B128,Nursery_Inventory!B:B,Nursery_Inventory!E:E)</f>
        <v>Delhi</v>
      </c>
      <c r="H128" s="9" t="str">
        <f>_xlfn.XLOOKUP(B128,Plant_Master!A:A,Plant_Master!B:B)</f>
        <v>Lily</v>
      </c>
      <c r="I128" s="9" t="str">
        <f>_xlfn.XLOOKUP(B128,Plant_Master!A:A,Plant_Master!C:C)</f>
        <v>Indoor</v>
      </c>
      <c r="J128" s="9">
        <f>_xlfn.XLOOKUP(B128,Nursery_Inventory!B:B,Nursery_Inventory!C:C)</f>
        <v>443</v>
      </c>
    </row>
    <row r="129" spans="1:10" ht="13.2" x14ac:dyDescent="0.25">
      <c r="A129" s="10">
        <v>3241</v>
      </c>
      <c r="B129" s="10">
        <v>1424</v>
      </c>
      <c r="C129" s="10" t="s">
        <v>25</v>
      </c>
      <c r="D129" s="10">
        <v>20</v>
      </c>
      <c r="E129" s="10">
        <v>65</v>
      </c>
      <c r="F129" s="9">
        <f t="shared" si="1"/>
        <v>1300</v>
      </c>
      <c r="G129" s="9" t="str">
        <f>_xlfn.XLOOKUP(B129,Nursery_Inventory!B:B,Nursery_Inventory!E:E)</f>
        <v>Pune</v>
      </c>
      <c r="H129" s="9" t="str">
        <f>_xlfn.XLOOKUP(B129,Plant_Master!A:A,Plant_Master!B:B)</f>
        <v>Palm</v>
      </c>
      <c r="I129" s="9" t="str">
        <f>_xlfn.XLOOKUP(B129,Plant_Master!A:A,Plant_Master!C:C)</f>
        <v>Medicinal</v>
      </c>
      <c r="J129" s="9">
        <f>_xlfn.XLOOKUP(B129,Nursery_Inventory!B:B,Nursery_Inventory!C:C)</f>
        <v>423</v>
      </c>
    </row>
    <row r="130" spans="1:10" ht="13.2" x14ac:dyDescent="0.25">
      <c r="A130" s="10">
        <v>3493</v>
      </c>
      <c r="B130" s="10">
        <v>1279</v>
      </c>
      <c r="C130" s="10" t="s">
        <v>7</v>
      </c>
      <c r="D130" s="10">
        <v>20</v>
      </c>
      <c r="E130" s="10">
        <v>468</v>
      </c>
      <c r="F130" s="9">
        <f t="shared" ref="F130:F193" si="2">D130*E130</f>
        <v>9360</v>
      </c>
      <c r="G130" s="13" t="s">
        <v>79</v>
      </c>
      <c r="H130" s="9" t="str">
        <f>_xlfn.XLOOKUP(B130,Plant_Master!A:A,Plant_Master!B:B)</f>
        <v>Jasmine</v>
      </c>
      <c r="I130" s="9" t="str">
        <f>_xlfn.XLOOKUP(B130,Plant_Master!A:A,Plant_Master!C:C)</f>
        <v>Medicinal</v>
      </c>
      <c r="J130" s="13" t="s">
        <v>73</v>
      </c>
    </row>
    <row r="131" spans="1:10" ht="13.2" x14ac:dyDescent="0.25">
      <c r="A131" s="10">
        <v>3144</v>
      </c>
      <c r="B131" s="10">
        <v>1260</v>
      </c>
      <c r="C131" s="10" t="s">
        <v>7</v>
      </c>
      <c r="D131" s="10">
        <v>12</v>
      </c>
      <c r="E131" s="10">
        <v>116</v>
      </c>
      <c r="F131" s="9">
        <f t="shared" si="2"/>
        <v>1392</v>
      </c>
      <c r="G131" s="13" t="s">
        <v>79</v>
      </c>
      <c r="H131" s="9" t="str">
        <f>_xlfn.XLOOKUP(B131,Plant_Master!A:A,Plant_Master!B:B)</f>
        <v>Lily</v>
      </c>
      <c r="I131" s="9" t="str">
        <f>_xlfn.XLOOKUP(B131,Plant_Master!A:A,Plant_Master!C:C)</f>
        <v>Flower</v>
      </c>
      <c r="J131" s="13" t="s">
        <v>73</v>
      </c>
    </row>
    <row r="132" spans="1:10" ht="13.2" x14ac:dyDescent="0.25">
      <c r="A132" s="10">
        <v>3298</v>
      </c>
      <c r="B132" s="10">
        <v>1046</v>
      </c>
      <c r="C132" s="10" t="s">
        <v>12</v>
      </c>
      <c r="D132" s="10">
        <v>2</v>
      </c>
      <c r="E132" s="10">
        <v>285</v>
      </c>
      <c r="F132" s="9">
        <f t="shared" si="2"/>
        <v>570</v>
      </c>
      <c r="G132" s="13" t="s">
        <v>79</v>
      </c>
      <c r="H132" s="9" t="str">
        <f>_xlfn.XLOOKUP(B132,Plant_Master!A:A,Plant_Master!B:B)</f>
        <v>Fern</v>
      </c>
      <c r="I132" s="9" t="str">
        <f>_xlfn.XLOOKUP(B132,Plant_Master!A:A,Plant_Master!C:C)</f>
        <v>Flower</v>
      </c>
      <c r="J132" s="13" t="s">
        <v>73</v>
      </c>
    </row>
    <row r="133" spans="1:10" ht="13.2" x14ac:dyDescent="0.25">
      <c r="A133" s="10">
        <v>3006</v>
      </c>
      <c r="B133" s="10">
        <v>1459</v>
      </c>
      <c r="C133" s="10" t="s">
        <v>14</v>
      </c>
      <c r="D133" s="10">
        <v>35</v>
      </c>
      <c r="E133" s="10">
        <v>118</v>
      </c>
      <c r="F133" s="9">
        <f t="shared" si="2"/>
        <v>4130</v>
      </c>
      <c r="G133" s="9" t="str">
        <f>_xlfn.XLOOKUP(B133,Nursery_Inventory!B:B,Nursery_Inventory!E:E)</f>
        <v>Mumbai</v>
      </c>
      <c r="H133" s="9" t="str">
        <f>_xlfn.XLOOKUP(B133,Plant_Master!A:A,Plant_Master!B:B)</f>
        <v>Palm</v>
      </c>
      <c r="I133" s="9" t="str">
        <f>_xlfn.XLOOKUP(B133,Plant_Master!A:A,Plant_Master!C:C)</f>
        <v>Outdoor</v>
      </c>
      <c r="J133" s="9">
        <f>_xlfn.XLOOKUP(B133,Nursery_Inventory!B:B,Nursery_Inventory!C:C)</f>
        <v>128</v>
      </c>
    </row>
    <row r="134" spans="1:10" ht="13.2" x14ac:dyDescent="0.25">
      <c r="A134" s="10">
        <v>3004</v>
      </c>
      <c r="B134" s="10">
        <v>1383</v>
      </c>
      <c r="C134" s="10" t="s">
        <v>12</v>
      </c>
      <c r="D134" s="10">
        <v>19</v>
      </c>
      <c r="E134" s="10">
        <v>478</v>
      </c>
      <c r="F134" s="9">
        <f t="shared" si="2"/>
        <v>9082</v>
      </c>
      <c r="G134" s="13" t="s">
        <v>79</v>
      </c>
      <c r="H134" s="9" t="str">
        <f>_xlfn.XLOOKUP(B134,Plant_Master!A:A,Plant_Master!B:B)</f>
        <v>Tulip</v>
      </c>
      <c r="I134" s="9" t="str">
        <f>_xlfn.XLOOKUP(B134,Plant_Master!A:A,Plant_Master!C:C)</f>
        <v>Succulent</v>
      </c>
      <c r="J134" s="13" t="s">
        <v>73</v>
      </c>
    </row>
    <row r="135" spans="1:10" ht="13.2" x14ac:dyDescent="0.25">
      <c r="A135" s="10">
        <v>3080</v>
      </c>
      <c r="B135" s="10">
        <v>1116</v>
      </c>
      <c r="C135" s="10" t="s">
        <v>25</v>
      </c>
      <c r="D135" s="10">
        <v>25</v>
      </c>
      <c r="E135" s="10">
        <v>363</v>
      </c>
      <c r="F135" s="9">
        <f t="shared" si="2"/>
        <v>9075</v>
      </c>
      <c r="G135" s="13" t="s">
        <v>79</v>
      </c>
      <c r="H135" s="9" t="str">
        <f>_xlfn.XLOOKUP(B135,Plant_Master!A:A,Plant_Master!B:B)</f>
        <v>Bamboo</v>
      </c>
      <c r="I135" s="9" t="str">
        <f>_xlfn.XLOOKUP(B135,Plant_Master!A:A,Plant_Master!C:C)</f>
        <v>Medicinal</v>
      </c>
      <c r="J135" s="13" t="s">
        <v>73</v>
      </c>
    </row>
    <row r="136" spans="1:10" ht="13.2" x14ac:dyDescent="0.25">
      <c r="A136" s="10">
        <v>3303</v>
      </c>
      <c r="B136" s="10">
        <v>1202</v>
      </c>
      <c r="C136" s="10" t="s">
        <v>25</v>
      </c>
      <c r="D136" s="10">
        <v>34</v>
      </c>
      <c r="E136" s="10">
        <v>268</v>
      </c>
      <c r="F136" s="9">
        <f t="shared" si="2"/>
        <v>9112</v>
      </c>
      <c r="G136" s="9" t="str">
        <f>_xlfn.XLOOKUP(B136,Nursery_Inventory!B:B,Nursery_Inventory!E:E)</f>
        <v>Delhi</v>
      </c>
      <c r="H136" s="9" t="str">
        <f>_xlfn.XLOOKUP(B136,Plant_Master!A:A,Plant_Master!B:B)</f>
        <v>Fern</v>
      </c>
      <c r="I136" s="9" t="str">
        <f>_xlfn.XLOOKUP(B136,Plant_Master!A:A,Plant_Master!C:C)</f>
        <v>Outdoor</v>
      </c>
      <c r="J136" s="9">
        <f>_xlfn.XLOOKUP(B136,Nursery_Inventory!B:B,Nursery_Inventory!C:C)</f>
        <v>443</v>
      </c>
    </row>
    <row r="137" spans="1:10" ht="13.2" x14ac:dyDescent="0.25">
      <c r="A137" s="10">
        <v>3114</v>
      </c>
      <c r="B137" s="10">
        <v>1024</v>
      </c>
      <c r="C137" s="10" t="s">
        <v>14</v>
      </c>
      <c r="D137" s="10">
        <v>21</v>
      </c>
      <c r="E137" s="10">
        <v>410</v>
      </c>
      <c r="F137" s="9">
        <f t="shared" si="2"/>
        <v>8610</v>
      </c>
      <c r="G137" s="9" t="str">
        <f>_xlfn.XLOOKUP(B137,Nursery_Inventory!B:B,Nursery_Inventory!E:E)</f>
        <v>Delhi</v>
      </c>
      <c r="H137" s="9" t="str">
        <f>_xlfn.XLOOKUP(B137,Plant_Master!A:A,Plant_Master!B:B)</f>
        <v>Lily</v>
      </c>
      <c r="I137" s="9" t="str">
        <f>_xlfn.XLOOKUP(B137,Plant_Master!A:A,Plant_Master!C:C)</f>
        <v>Indoor</v>
      </c>
      <c r="J137" s="9">
        <f>_xlfn.XLOOKUP(B137,Nursery_Inventory!B:B,Nursery_Inventory!C:C)</f>
        <v>443</v>
      </c>
    </row>
    <row r="138" spans="1:10" ht="13.2" x14ac:dyDescent="0.25">
      <c r="A138" s="10">
        <v>3090</v>
      </c>
      <c r="B138" s="10">
        <v>1080</v>
      </c>
      <c r="C138" s="10" t="s">
        <v>14</v>
      </c>
      <c r="D138" s="10">
        <v>50</v>
      </c>
      <c r="E138" s="10">
        <v>181</v>
      </c>
      <c r="F138" s="9">
        <f t="shared" si="2"/>
        <v>9050</v>
      </c>
      <c r="G138" s="13" t="s">
        <v>79</v>
      </c>
      <c r="H138" s="9" t="str">
        <f>_xlfn.XLOOKUP(B138,Plant_Master!A:A,Plant_Master!B:B)</f>
        <v>Lily</v>
      </c>
      <c r="I138" s="9" t="str">
        <f>_xlfn.XLOOKUP(B138,Plant_Master!A:A,Plant_Master!C:C)</f>
        <v>Medicinal</v>
      </c>
      <c r="J138" s="13" t="s">
        <v>73</v>
      </c>
    </row>
    <row r="139" spans="1:10" ht="13.2" x14ac:dyDescent="0.25">
      <c r="A139" s="10">
        <v>3251</v>
      </c>
      <c r="B139" s="10">
        <v>1304</v>
      </c>
      <c r="C139" s="10" t="s">
        <v>14</v>
      </c>
      <c r="D139" s="10">
        <v>46</v>
      </c>
      <c r="E139" s="10">
        <v>196</v>
      </c>
      <c r="F139" s="9">
        <f t="shared" si="2"/>
        <v>9016</v>
      </c>
      <c r="G139" s="13" t="s">
        <v>79</v>
      </c>
      <c r="H139" s="9" t="str">
        <f>_xlfn.XLOOKUP(B139,Plant_Master!A:A,Plant_Master!B:B)</f>
        <v>Bamboo</v>
      </c>
      <c r="I139" s="9" t="str">
        <f>_xlfn.XLOOKUP(B139,Plant_Master!A:A,Plant_Master!C:C)</f>
        <v>Medicinal</v>
      </c>
      <c r="J139" s="13" t="s">
        <v>73</v>
      </c>
    </row>
    <row r="140" spans="1:10" ht="13.2" x14ac:dyDescent="0.25">
      <c r="A140" s="10">
        <v>3212</v>
      </c>
      <c r="B140" s="10">
        <v>1172</v>
      </c>
      <c r="C140" s="10" t="s">
        <v>7</v>
      </c>
      <c r="D140" s="10">
        <v>32</v>
      </c>
      <c r="E140" s="10">
        <v>279</v>
      </c>
      <c r="F140" s="9">
        <f t="shared" si="2"/>
        <v>8928</v>
      </c>
      <c r="G140" s="9" t="str">
        <f>_xlfn.XLOOKUP(B140,Nursery_Inventory!B:B,Nursery_Inventory!E:E)</f>
        <v>Chennai</v>
      </c>
      <c r="H140" s="9" t="str">
        <f>_xlfn.XLOOKUP(B140,Plant_Master!A:A,Plant_Master!B:B)</f>
        <v>Jasmine</v>
      </c>
      <c r="I140" s="9" t="str">
        <f>_xlfn.XLOOKUP(B140,Plant_Master!A:A,Plant_Master!C:C)</f>
        <v>Succulent</v>
      </c>
      <c r="J140" s="9">
        <f>_xlfn.XLOOKUP(B140,Nursery_Inventory!B:B,Nursery_Inventory!C:C)</f>
        <v>448</v>
      </c>
    </row>
    <row r="141" spans="1:10" ht="13.2" x14ac:dyDescent="0.25">
      <c r="A141" s="10">
        <v>3367</v>
      </c>
      <c r="B141" s="10">
        <v>1414</v>
      </c>
      <c r="C141" s="10" t="s">
        <v>7</v>
      </c>
      <c r="D141" s="10">
        <v>49</v>
      </c>
      <c r="E141" s="10">
        <v>200</v>
      </c>
      <c r="F141" s="9">
        <f t="shared" si="2"/>
        <v>9800</v>
      </c>
      <c r="G141" s="9" t="str">
        <f>_xlfn.XLOOKUP(B141,Nursery_Inventory!B:B,Nursery_Inventory!E:E)</f>
        <v>Bangalore</v>
      </c>
      <c r="H141" s="9" t="str">
        <f>_xlfn.XLOOKUP(B141,Plant_Master!A:A,Plant_Master!B:B)</f>
        <v>Orchid</v>
      </c>
      <c r="I141" s="9" t="str">
        <f>_xlfn.XLOOKUP(B141,Plant_Master!A:A,Plant_Master!C:C)</f>
        <v>Medicinal</v>
      </c>
      <c r="J141" s="9">
        <f>_xlfn.XLOOKUP(B141,Nursery_Inventory!B:B,Nursery_Inventory!C:C)</f>
        <v>259</v>
      </c>
    </row>
    <row r="142" spans="1:10" ht="13.2" x14ac:dyDescent="0.25">
      <c r="A142" s="10">
        <v>3067</v>
      </c>
      <c r="B142" s="10">
        <v>1309</v>
      </c>
      <c r="C142" s="10" t="s">
        <v>25</v>
      </c>
      <c r="D142" s="10">
        <v>19</v>
      </c>
      <c r="E142" s="10">
        <v>461</v>
      </c>
      <c r="F142" s="9">
        <f t="shared" si="2"/>
        <v>8759</v>
      </c>
      <c r="G142" s="13" t="s">
        <v>79</v>
      </c>
      <c r="H142" s="9" t="str">
        <f>_xlfn.XLOOKUP(B142,Plant_Master!A:A,Plant_Master!B:B)</f>
        <v>Cactus</v>
      </c>
      <c r="I142" s="9" t="str">
        <f>_xlfn.XLOOKUP(B142,Plant_Master!A:A,Plant_Master!C:C)</f>
        <v>Medicinal</v>
      </c>
      <c r="J142" s="13" t="s">
        <v>73</v>
      </c>
    </row>
    <row r="143" spans="1:10" ht="13.2" x14ac:dyDescent="0.25">
      <c r="A143" s="10">
        <v>3043</v>
      </c>
      <c r="B143" s="10">
        <v>1427</v>
      </c>
      <c r="C143" s="10" t="s">
        <v>7</v>
      </c>
      <c r="D143" s="10">
        <v>28</v>
      </c>
      <c r="E143" s="10">
        <v>314</v>
      </c>
      <c r="F143" s="9">
        <f t="shared" si="2"/>
        <v>8792</v>
      </c>
      <c r="G143" s="9" t="str">
        <f>_xlfn.XLOOKUP(B143,Nursery_Inventory!B:B,Nursery_Inventory!E:E)</f>
        <v>Bangalore</v>
      </c>
      <c r="H143" s="9" t="str">
        <f>_xlfn.XLOOKUP(B143,Plant_Master!A:A,Plant_Master!B:B)</f>
        <v>Cactus</v>
      </c>
      <c r="I143" s="9" t="str">
        <f>_xlfn.XLOOKUP(B143,Plant_Master!A:A,Plant_Master!C:C)</f>
        <v>Succulent</v>
      </c>
      <c r="J143" s="9">
        <f>_xlfn.XLOOKUP(B143,Nursery_Inventory!B:B,Nursery_Inventory!C:C)</f>
        <v>428</v>
      </c>
    </row>
    <row r="144" spans="1:10" ht="13.2" x14ac:dyDescent="0.25">
      <c r="A144" s="10">
        <v>3130</v>
      </c>
      <c r="B144" s="10">
        <v>1327</v>
      </c>
      <c r="C144" s="10" t="s">
        <v>25</v>
      </c>
      <c r="D144" s="10">
        <v>45</v>
      </c>
      <c r="E144" s="10">
        <v>73</v>
      </c>
      <c r="F144" s="9">
        <f t="shared" si="2"/>
        <v>3285</v>
      </c>
      <c r="G144" s="9" t="str">
        <f>_xlfn.XLOOKUP(B144,Nursery_Inventory!B:B,Nursery_Inventory!E:E)</f>
        <v>Pune</v>
      </c>
      <c r="H144" s="9" t="str">
        <f>_xlfn.XLOOKUP(B144,Plant_Master!A:A,Plant_Master!B:B)</f>
        <v>Lily</v>
      </c>
      <c r="I144" s="9" t="str">
        <f>_xlfn.XLOOKUP(B144,Plant_Master!A:A,Plant_Master!C:C)</f>
        <v>Indoor</v>
      </c>
      <c r="J144" s="9">
        <f>_xlfn.XLOOKUP(B144,Nursery_Inventory!B:B,Nursery_Inventory!C:C)</f>
        <v>406</v>
      </c>
    </row>
    <row r="145" spans="1:10" ht="13.2" x14ac:dyDescent="0.25">
      <c r="A145" s="10">
        <v>3054</v>
      </c>
      <c r="B145" s="10">
        <v>1202</v>
      </c>
      <c r="C145" s="10" t="s">
        <v>14</v>
      </c>
      <c r="D145" s="10">
        <v>25</v>
      </c>
      <c r="E145" s="10">
        <v>241</v>
      </c>
      <c r="F145" s="9">
        <f t="shared" si="2"/>
        <v>6025</v>
      </c>
      <c r="G145" s="9" t="str">
        <f>_xlfn.XLOOKUP(B145,Nursery_Inventory!B:B,Nursery_Inventory!E:E)</f>
        <v>Delhi</v>
      </c>
      <c r="H145" s="9" t="str">
        <f>_xlfn.XLOOKUP(B145,Plant_Master!A:A,Plant_Master!B:B)</f>
        <v>Fern</v>
      </c>
      <c r="I145" s="9" t="str">
        <f>_xlfn.XLOOKUP(B145,Plant_Master!A:A,Plant_Master!C:C)</f>
        <v>Outdoor</v>
      </c>
      <c r="J145" s="9">
        <f>_xlfn.XLOOKUP(B145,Nursery_Inventory!B:B,Nursery_Inventory!C:C)</f>
        <v>443</v>
      </c>
    </row>
    <row r="146" spans="1:10" ht="13.2" x14ac:dyDescent="0.25">
      <c r="A146" s="10">
        <v>3039</v>
      </c>
      <c r="B146" s="10">
        <v>1131</v>
      </c>
      <c r="C146" s="10" t="s">
        <v>14</v>
      </c>
      <c r="D146" s="10">
        <v>27</v>
      </c>
      <c r="E146" s="10">
        <v>316</v>
      </c>
      <c r="F146" s="9">
        <f t="shared" si="2"/>
        <v>8532</v>
      </c>
      <c r="G146" s="13" t="s">
        <v>79</v>
      </c>
      <c r="H146" s="9" t="str">
        <f>_xlfn.XLOOKUP(B146,Plant_Master!A:A,Plant_Master!B:B)</f>
        <v>Cactus</v>
      </c>
      <c r="I146" s="9" t="str">
        <f>_xlfn.XLOOKUP(B146,Plant_Master!A:A,Plant_Master!C:C)</f>
        <v>Indoor</v>
      </c>
      <c r="J146" s="13" t="s">
        <v>73</v>
      </c>
    </row>
    <row r="147" spans="1:10" ht="13.2" x14ac:dyDescent="0.25">
      <c r="A147" s="10">
        <v>3160</v>
      </c>
      <c r="B147" s="10">
        <v>1340</v>
      </c>
      <c r="C147" s="10" t="s">
        <v>12</v>
      </c>
      <c r="D147" s="10">
        <v>47</v>
      </c>
      <c r="E147" s="10">
        <v>184</v>
      </c>
      <c r="F147" s="9">
        <f t="shared" si="2"/>
        <v>8648</v>
      </c>
      <c r="G147" s="9" t="str">
        <f>_xlfn.XLOOKUP(B147,Nursery_Inventory!B:B,Nursery_Inventory!E:E)</f>
        <v>Bangalore</v>
      </c>
      <c r="H147" s="9" t="str">
        <f>_xlfn.XLOOKUP(B147,Plant_Master!A:A,Plant_Master!B:B)</f>
        <v>Lily</v>
      </c>
      <c r="I147" s="9" t="str">
        <f>_xlfn.XLOOKUP(B147,Plant_Master!A:A,Plant_Master!C:C)</f>
        <v>Outdoor</v>
      </c>
      <c r="J147" s="9">
        <f>_xlfn.XLOOKUP(B147,Nursery_Inventory!B:B,Nursery_Inventory!C:C)</f>
        <v>210</v>
      </c>
    </row>
    <row r="148" spans="1:10" ht="13.2" x14ac:dyDescent="0.25">
      <c r="A148" s="10">
        <v>3196</v>
      </c>
      <c r="B148" s="10">
        <v>1460</v>
      </c>
      <c r="C148" s="10" t="s">
        <v>12</v>
      </c>
      <c r="D148" s="10">
        <v>19</v>
      </c>
      <c r="E148" s="10">
        <v>448</v>
      </c>
      <c r="F148" s="9">
        <f t="shared" si="2"/>
        <v>8512</v>
      </c>
      <c r="G148" s="9" t="str">
        <f>_xlfn.XLOOKUP(B148,Nursery_Inventory!B:B,Nursery_Inventory!E:E)</f>
        <v>Bangalore</v>
      </c>
      <c r="H148" s="9" t="str">
        <f>_xlfn.XLOOKUP(B148,Plant_Master!A:A,Plant_Master!B:B)</f>
        <v>Fern</v>
      </c>
      <c r="I148" s="9" t="str">
        <f>_xlfn.XLOOKUP(B148,Plant_Master!A:A,Plant_Master!C:C)</f>
        <v>Medicinal</v>
      </c>
      <c r="J148" s="9">
        <f>_xlfn.XLOOKUP(B148,Nursery_Inventory!B:B,Nursery_Inventory!C:C)</f>
        <v>107</v>
      </c>
    </row>
    <row r="149" spans="1:10" ht="13.2" x14ac:dyDescent="0.25">
      <c r="A149" s="10">
        <v>3319</v>
      </c>
      <c r="B149" s="10">
        <v>1024</v>
      </c>
      <c r="C149" s="10" t="s">
        <v>9</v>
      </c>
      <c r="D149" s="10">
        <v>35</v>
      </c>
      <c r="E149" s="10">
        <v>64</v>
      </c>
      <c r="F149" s="9">
        <f t="shared" si="2"/>
        <v>2240</v>
      </c>
      <c r="G149" s="9" t="str">
        <f>_xlfn.XLOOKUP(B149,Nursery_Inventory!B:B,Nursery_Inventory!E:E)</f>
        <v>Delhi</v>
      </c>
      <c r="H149" s="9" t="str">
        <f>_xlfn.XLOOKUP(B149,Plant_Master!A:A,Plant_Master!B:B)</f>
        <v>Lily</v>
      </c>
      <c r="I149" s="9" t="str">
        <f>_xlfn.XLOOKUP(B149,Plant_Master!A:A,Plant_Master!C:C)</f>
        <v>Indoor</v>
      </c>
      <c r="J149" s="9">
        <f>_xlfn.XLOOKUP(B149,Nursery_Inventory!B:B,Nursery_Inventory!C:C)</f>
        <v>443</v>
      </c>
    </row>
    <row r="150" spans="1:10" ht="13.2" x14ac:dyDescent="0.25">
      <c r="A150" s="10">
        <v>3234</v>
      </c>
      <c r="B150" s="10">
        <v>1368</v>
      </c>
      <c r="C150" s="10" t="s">
        <v>12</v>
      </c>
      <c r="D150" s="10">
        <v>7</v>
      </c>
      <c r="E150" s="10">
        <v>104</v>
      </c>
      <c r="F150" s="9">
        <f t="shared" si="2"/>
        <v>728</v>
      </c>
      <c r="G150" s="9" t="str">
        <f>_xlfn.XLOOKUP(B150,Nursery_Inventory!B:B,Nursery_Inventory!E:E)</f>
        <v>Delhi</v>
      </c>
      <c r="H150" s="9" t="str">
        <f>_xlfn.XLOOKUP(B150,Plant_Master!A:A,Plant_Master!B:B)</f>
        <v>Rose</v>
      </c>
      <c r="I150" s="9" t="str">
        <f>_xlfn.XLOOKUP(B150,Plant_Master!A:A,Plant_Master!C:C)</f>
        <v>Indoor</v>
      </c>
      <c r="J150" s="9">
        <f>_xlfn.XLOOKUP(B150,Nursery_Inventory!B:B,Nursery_Inventory!C:C)</f>
        <v>412</v>
      </c>
    </row>
    <row r="151" spans="1:10" ht="13.2" x14ac:dyDescent="0.25">
      <c r="A151" s="10">
        <v>3178</v>
      </c>
      <c r="B151" s="10">
        <v>1484</v>
      </c>
      <c r="C151" s="10" t="s">
        <v>12</v>
      </c>
      <c r="D151" s="10">
        <v>24</v>
      </c>
      <c r="E151" s="10">
        <v>422</v>
      </c>
      <c r="F151" s="9">
        <f t="shared" si="2"/>
        <v>10128</v>
      </c>
      <c r="G151" s="9" t="str">
        <f>_xlfn.XLOOKUP(B151,Nursery_Inventory!B:B,Nursery_Inventory!E:E)</f>
        <v>Delhi</v>
      </c>
      <c r="H151" s="9" t="str">
        <f>_xlfn.XLOOKUP(B151,Plant_Master!A:A,Plant_Master!B:B)</f>
        <v>Jasmine</v>
      </c>
      <c r="I151" s="9" t="str">
        <f>_xlfn.XLOOKUP(B151,Plant_Master!A:A,Plant_Master!C:C)</f>
        <v>Outdoor</v>
      </c>
      <c r="J151" s="9">
        <f>_xlfn.XLOOKUP(B151,Nursery_Inventory!B:B,Nursery_Inventory!C:C)</f>
        <v>411</v>
      </c>
    </row>
    <row r="152" spans="1:10" ht="13.2" x14ac:dyDescent="0.25">
      <c r="A152" s="10">
        <v>3165</v>
      </c>
      <c r="B152" s="10">
        <v>1484</v>
      </c>
      <c r="C152" s="10" t="s">
        <v>25</v>
      </c>
      <c r="D152" s="10">
        <v>27</v>
      </c>
      <c r="E152" s="10">
        <v>361</v>
      </c>
      <c r="F152" s="9">
        <f t="shared" si="2"/>
        <v>9747</v>
      </c>
      <c r="G152" s="9" t="str">
        <f>_xlfn.XLOOKUP(B152,Nursery_Inventory!B:B,Nursery_Inventory!E:E)</f>
        <v>Delhi</v>
      </c>
      <c r="H152" s="9" t="str">
        <f>_xlfn.XLOOKUP(B152,Plant_Master!A:A,Plant_Master!B:B)</f>
        <v>Jasmine</v>
      </c>
      <c r="I152" s="9" t="str">
        <f>_xlfn.XLOOKUP(B152,Plant_Master!A:A,Plant_Master!C:C)</f>
        <v>Outdoor</v>
      </c>
      <c r="J152" s="9">
        <f>_xlfn.XLOOKUP(B152,Nursery_Inventory!B:B,Nursery_Inventory!C:C)</f>
        <v>411</v>
      </c>
    </row>
    <row r="153" spans="1:10" ht="13.2" x14ac:dyDescent="0.25">
      <c r="A153" s="10">
        <v>3229</v>
      </c>
      <c r="B153" s="10">
        <v>1023</v>
      </c>
      <c r="C153" s="10" t="s">
        <v>14</v>
      </c>
      <c r="D153" s="10">
        <v>39</v>
      </c>
      <c r="E153" s="10">
        <v>453</v>
      </c>
      <c r="F153" s="9">
        <f t="shared" si="2"/>
        <v>17667</v>
      </c>
      <c r="G153" s="9" t="str">
        <f>_xlfn.XLOOKUP(B153,Nursery_Inventory!B:B,Nursery_Inventory!E:E)</f>
        <v>Pune</v>
      </c>
      <c r="H153" s="9" t="str">
        <f>_xlfn.XLOOKUP(B153,Plant_Master!A:A,Plant_Master!B:B)</f>
        <v>Bamboo</v>
      </c>
      <c r="I153" s="9" t="str">
        <f>_xlfn.XLOOKUP(B153,Plant_Master!A:A,Plant_Master!C:C)</f>
        <v>Outdoor</v>
      </c>
      <c r="J153" s="9">
        <f>_xlfn.XLOOKUP(B153,Nursery_Inventory!B:B,Nursery_Inventory!C:C)</f>
        <v>376</v>
      </c>
    </row>
    <row r="154" spans="1:10" ht="13.2" x14ac:dyDescent="0.25">
      <c r="A154" s="10">
        <v>3063</v>
      </c>
      <c r="B154" s="10">
        <v>1302</v>
      </c>
      <c r="C154" s="10" t="s">
        <v>14</v>
      </c>
      <c r="D154" s="10">
        <v>33</v>
      </c>
      <c r="E154" s="10">
        <v>67</v>
      </c>
      <c r="F154" s="9">
        <f t="shared" si="2"/>
        <v>2211</v>
      </c>
      <c r="G154" s="13" t="s">
        <v>79</v>
      </c>
      <c r="H154" s="9" t="str">
        <f>_xlfn.XLOOKUP(B154,Plant_Master!A:A,Plant_Master!B:B)</f>
        <v>Lily</v>
      </c>
      <c r="I154" s="9" t="str">
        <f>_xlfn.XLOOKUP(B154,Plant_Master!A:A,Plant_Master!C:C)</f>
        <v>Outdoor</v>
      </c>
      <c r="J154" s="13" t="s">
        <v>73</v>
      </c>
    </row>
    <row r="155" spans="1:10" ht="13.2" x14ac:dyDescent="0.25">
      <c r="A155" s="10">
        <v>3346</v>
      </c>
      <c r="B155" s="10">
        <v>1347</v>
      </c>
      <c r="C155" s="10" t="s">
        <v>14</v>
      </c>
      <c r="D155" s="10">
        <v>35</v>
      </c>
      <c r="E155" s="10">
        <v>232</v>
      </c>
      <c r="F155" s="9">
        <f t="shared" si="2"/>
        <v>8120</v>
      </c>
      <c r="G155" s="9" t="str">
        <f>_xlfn.XLOOKUP(B155,Nursery_Inventory!B:B,Nursery_Inventory!E:E)</f>
        <v>Mumbai</v>
      </c>
      <c r="H155" s="9" t="str">
        <f>_xlfn.XLOOKUP(B155,Plant_Master!A:A,Plant_Master!B:B)</f>
        <v>Bamboo</v>
      </c>
      <c r="I155" s="9" t="str">
        <f>_xlfn.XLOOKUP(B155,Plant_Master!A:A,Plant_Master!C:C)</f>
        <v>Indoor</v>
      </c>
      <c r="J155" s="9">
        <f>_xlfn.XLOOKUP(B155,Nursery_Inventory!B:B,Nursery_Inventory!C:C)</f>
        <v>74</v>
      </c>
    </row>
    <row r="156" spans="1:10" ht="13.2" x14ac:dyDescent="0.25">
      <c r="A156" s="10">
        <v>3073</v>
      </c>
      <c r="B156" s="10">
        <v>1193</v>
      </c>
      <c r="C156" s="10" t="s">
        <v>9</v>
      </c>
      <c r="D156" s="10">
        <v>35</v>
      </c>
      <c r="E156" s="10">
        <v>486</v>
      </c>
      <c r="F156" s="9">
        <f t="shared" si="2"/>
        <v>17010</v>
      </c>
      <c r="G156" s="9" t="str">
        <f>_xlfn.XLOOKUP(B156,Nursery_Inventory!B:B,Nursery_Inventory!E:E)</f>
        <v>Delhi</v>
      </c>
      <c r="H156" s="9" t="str">
        <f>_xlfn.XLOOKUP(B156,Plant_Master!A:A,Plant_Master!B:B)</f>
        <v>Jasmine</v>
      </c>
      <c r="I156" s="9" t="str">
        <f>_xlfn.XLOOKUP(B156,Plant_Master!A:A,Plant_Master!C:C)</f>
        <v>Succulent</v>
      </c>
      <c r="J156" s="9">
        <f>_xlfn.XLOOKUP(B156,Nursery_Inventory!B:B,Nursery_Inventory!C:C)</f>
        <v>399</v>
      </c>
    </row>
    <row r="157" spans="1:10" ht="13.2" x14ac:dyDescent="0.25">
      <c r="A157" s="10">
        <v>3117</v>
      </c>
      <c r="B157" s="10">
        <v>1149</v>
      </c>
      <c r="C157" s="10" t="s">
        <v>12</v>
      </c>
      <c r="D157" s="10">
        <v>23</v>
      </c>
      <c r="E157" s="10">
        <v>350</v>
      </c>
      <c r="F157" s="9">
        <f t="shared" si="2"/>
        <v>8050</v>
      </c>
      <c r="G157" s="9" t="str">
        <f>_xlfn.XLOOKUP(B157,Nursery_Inventory!B:B,Nursery_Inventory!E:E)</f>
        <v>Mumbai</v>
      </c>
      <c r="H157" s="9" t="str">
        <f>_xlfn.XLOOKUP(B157,Plant_Master!A:A,Plant_Master!B:B)</f>
        <v>Tulip</v>
      </c>
      <c r="I157" s="9" t="str">
        <f>_xlfn.XLOOKUP(B157,Plant_Master!A:A,Plant_Master!C:C)</f>
        <v>Succulent</v>
      </c>
      <c r="J157" s="9">
        <f>_xlfn.XLOOKUP(B157,Nursery_Inventory!B:B,Nursery_Inventory!C:C)</f>
        <v>324</v>
      </c>
    </row>
    <row r="158" spans="1:10" ht="13.2" x14ac:dyDescent="0.25">
      <c r="A158" s="10">
        <v>3088</v>
      </c>
      <c r="B158" s="10">
        <v>1193</v>
      </c>
      <c r="C158" s="10" t="s">
        <v>7</v>
      </c>
      <c r="D158" s="10">
        <v>28</v>
      </c>
      <c r="E158" s="10">
        <v>224</v>
      </c>
      <c r="F158" s="9">
        <f t="shared" si="2"/>
        <v>6272</v>
      </c>
      <c r="G158" s="9" t="str">
        <f>_xlfn.XLOOKUP(B158,Nursery_Inventory!B:B,Nursery_Inventory!E:E)</f>
        <v>Delhi</v>
      </c>
      <c r="H158" s="9" t="str">
        <f>_xlfn.XLOOKUP(B158,Plant_Master!A:A,Plant_Master!B:B)</f>
        <v>Jasmine</v>
      </c>
      <c r="I158" s="9" t="str">
        <f>_xlfn.XLOOKUP(B158,Plant_Master!A:A,Plant_Master!C:C)</f>
        <v>Succulent</v>
      </c>
      <c r="J158" s="9">
        <f>_xlfn.XLOOKUP(B158,Nursery_Inventory!B:B,Nursery_Inventory!C:C)</f>
        <v>399</v>
      </c>
    </row>
    <row r="159" spans="1:10" ht="13.2" x14ac:dyDescent="0.25">
      <c r="A159" s="10">
        <v>3471</v>
      </c>
      <c r="B159" s="10">
        <v>1318</v>
      </c>
      <c r="C159" s="10" t="s">
        <v>7</v>
      </c>
      <c r="D159" s="10">
        <v>31</v>
      </c>
      <c r="E159" s="10">
        <v>258</v>
      </c>
      <c r="F159" s="9">
        <f t="shared" si="2"/>
        <v>7998</v>
      </c>
      <c r="G159" s="13" t="s">
        <v>79</v>
      </c>
      <c r="H159" s="9" t="str">
        <f>_xlfn.XLOOKUP(B159,Plant_Master!A:A,Plant_Master!B:B)</f>
        <v>Palm</v>
      </c>
      <c r="I159" s="9" t="str">
        <f>_xlfn.XLOOKUP(B159,Plant_Master!A:A,Plant_Master!C:C)</f>
        <v>Succulent</v>
      </c>
      <c r="J159" s="13" t="s">
        <v>73</v>
      </c>
    </row>
    <row r="160" spans="1:10" ht="13.2" x14ac:dyDescent="0.25">
      <c r="A160" s="10">
        <v>3032</v>
      </c>
      <c r="B160" s="10">
        <v>1044</v>
      </c>
      <c r="C160" s="10" t="s">
        <v>12</v>
      </c>
      <c r="D160" s="10">
        <v>32</v>
      </c>
      <c r="E160" s="10">
        <v>471</v>
      </c>
      <c r="F160" s="9">
        <f t="shared" si="2"/>
        <v>15072</v>
      </c>
      <c r="G160" s="13" t="s">
        <v>79</v>
      </c>
      <c r="H160" s="9" t="str">
        <f>_xlfn.XLOOKUP(B160,Plant_Master!A:A,Plant_Master!B:B)</f>
        <v>Lily</v>
      </c>
      <c r="I160" s="9" t="str">
        <f>_xlfn.XLOOKUP(B160,Plant_Master!A:A,Plant_Master!C:C)</f>
        <v>Outdoor</v>
      </c>
      <c r="J160" s="13" t="s">
        <v>73</v>
      </c>
    </row>
    <row r="161" spans="1:10" ht="13.2" x14ac:dyDescent="0.25">
      <c r="A161" s="10">
        <v>3275</v>
      </c>
      <c r="B161" s="10">
        <v>1137</v>
      </c>
      <c r="C161" s="10" t="s">
        <v>9</v>
      </c>
      <c r="D161" s="10">
        <v>25</v>
      </c>
      <c r="E161" s="10">
        <v>317</v>
      </c>
      <c r="F161" s="9">
        <f t="shared" si="2"/>
        <v>7925</v>
      </c>
      <c r="G161" s="13" t="s">
        <v>79</v>
      </c>
      <c r="H161" s="9" t="str">
        <f>_xlfn.XLOOKUP(B161,Plant_Master!A:A,Plant_Master!B:B)</f>
        <v>Rose</v>
      </c>
      <c r="I161" s="9" t="str">
        <f>_xlfn.XLOOKUP(B161,Plant_Master!A:A,Plant_Master!C:C)</f>
        <v>Medicinal</v>
      </c>
      <c r="J161" s="13" t="s">
        <v>73</v>
      </c>
    </row>
    <row r="162" spans="1:10" ht="13.2" x14ac:dyDescent="0.25">
      <c r="A162" s="10">
        <v>3051</v>
      </c>
      <c r="B162" s="10">
        <v>1023</v>
      </c>
      <c r="C162" s="10" t="s">
        <v>25</v>
      </c>
      <c r="D162" s="10">
        <v>36</v>
      </c>
      <c r="E162" s="10">
        <v>428</v>
      </c>
      <c r="F162" s="9">
        <f t="shared" si="2"/>
        <v>15408</v>
      </c>
      <c r="G162" s="9" t="str">
        <f>_xlfn.XLOOKUP(B162,Nursery_Inventory!B:B,Nursery_Inventory!E:E)</f>
        <v>Pune</v>
      </c>
      <c r="H162" s="9" t="str">
        <f>_xlfn.XLOOKUP(B162,Plant_Master!A:A,Plant_Master!B:B)</f>
        <v>Bamboo</v>
      </c>
      <c r="I162" s="9" t="str">
        <f>_xlfn.XLOOKUP(B162,Plant_Master!A:A,Plant_Master!C:C)</f>
        <v>Outdoor</v>
      </c>
      <c r="J162" s="9">
        <f>_xlfn.XLOOKUP(B162,Nursery_Inventory!B:B,Nursery_Inventory!C:C)</f>
        <v>376</v>
      </c>
    </row>
    <row r="163" spans="1:10" ht="13.2" x14ac:dyDescent="0.25">
      <c r="A163" s="10">
        <v>3109</v>
      </c>
      <c r="B163" s="10">
        <v>1097</v>
      </c>
      <c r="C163" s="10" t="s">
        <v>7</v>
      </c>
      <c r="D163" s="10">
        <v>24</v>
      </c>
      <c r="E163" s="10">
        <v>328</v>
      </c>
      <c r="F163" s="9">
        <f t="shared" si="2"/>
        <v>7872</v>
      </c>
      <c r="G163" s="9" t="str">
        <f>_xlfn.XLOOKUP(B163,Nursery_Inventory!B:B,Nursery_Inventory!E:E)</f>
        <v>Chennai</v>
      </c>
      <c r="H163" s="9" t="str">
        <f>_xlfn.XLOOKUP(B163,Plant_Master!A:A,Plant_Master!B:B)</f>
        <v>Palm</v>
      </c>
      <c r="I163" s="9" t="str">
        <f>_xlfn.XLOOKUP(B163,Plant_Master!A:A,Plant_Master!C:C)</f>
        <v>Medicinal</v>
      </c>
      <c r="J163" s="9">
        <f>_xlfn.XLOOKUP(B163,Nursery_Inventory!B:B,Nursery_Inventory!C:C)</f>
        <v>225</v>
      </c>
    </row>
    <row r="164" spans="1:10" ht="13.2" x14ac:dyDescent="0.25">
      <c r="A164" s="10">
        <v>3374</v>
      </c>
      <c r="B164" s="10">
        <v>1215</v>
      </c>
      <c r="C164" s="10" t="s">
        <v>12</v>
      </c>
      <c r="D164" s="10">
        <v>44</v>
      </c>
      <c r="E164" s="10">
        <v>363</v>
      </c>
      <c r="F164" s="9">
        <f t="shared" si="2"/>
        <v>15972</v>
      </c>
      <c r="G164" s="9" t="str">
        <f>_xlfn.XLOOKUP(B164,Nursery_Inventory!B:B,Nursery_Inventory!E:E)</f>
        <v>Pune</v>
      </c>
      <c r="H164" s="9" t="str">
        <f>_xlfn.XLOOKUP(B164,Plant_Master!A:A,Plant_Master!B:B)</f>
        <v>Bamboo</v>
      </c>
      <c r="I164" s="9" t="str">
        <f>_xlfn.XLOOKUP(B164,Plant_Master!A:A,Plant_Master!C:C)</f>
        <v>Flower</v>
      </c>
      <c r="J164" s="9">
        <f>_xlfn.XLOOKUP(B164,Nursery_Inventory!B:B,Nursery_Inventory!C:C)</f>
        <v>369</v>
      </c>
    </row>
    <row r="165" spans="1:10" ht="13.2" x14ac:dyDescent="0.25">
      <c r="A165" s="10">
        <v>3487</v>
      </c>
      <c r="B165" s="10">
        <v>1250</v>
      </c>
      <c r="C165" s="10" t="s">
        <v>7</v>
      </c>
      <c r="D165" s="10">
        <v>14</v>
      </c>
      <c r="E165" s="10">
        <v>105</v>
      </c>
      <c r="F165" s="9">
        <f t="shared" si="2"/>
        <v>1470</v>
      </c>
      <c r="G165" s="9" t="str">
        <f>_xlfn.XLOOKUP(B165,Nursery_Inventory!B:B,Nursery_Inventory!E:E)</f>
        <v>Delhi</v>
      </c>
      <c r="H165" s="9" t="str">
        <f>_xlfn.XLOOKUP(B165,Plant_Master!A:A,Plant_Master!B:B)</f>
        <v>Aloe</v>
      </c>
      <c r="I165" s="9" t="str">
        <f>_xlfn.XLOOKUP(B165,Plant_Master!A:A,Plant_Master!C:C)</f>
        <v>Medicinal</v>
      </c>
      <c r="J165" s="9">
        <f>_xlfn.XLOOKUP(B165,Nursery_Inventory!B:B,Nursery_Inventory!C:C)</f>
        <v>389</v>
      </c>
    </row>
    <row r="166" spans="1:10" ht="13.2" x14ac:dyDescent="0.25">
      <c r="A166" s="10">
        <v>3057</v>
      </c>
      <c r="B166" s="10">
        <v>1437</v>
      </c>
      <c r="C166" s="10" t="s">
        <v>9</v>
      </c>
      <c r="D166" s="10">
        <v>36</v>
      </c>
      <c r="E166" s="10">
        <v>124</v>
      </c>
      <c r="F166" s="9">
        <f t="shared" si="2"/>
        <v>4464</v>
      </c>
      <c r="G166" s="9" t="str">
        <f>_xlfn.XLOOKUP(B166,Nursery_Inventory!B:B,Nursery_Inventory!E:E)</f>
        <v>Pune</v>
      </c>
      <c r="H166" s="9" t="str">
        <f>_xlfn.XLOOKUP(B166,Plant_Master!A:A,Plant_Master!B:B)</f>
        <v>Aloe</v>
      </c>
      <c r="I166" s="9" t="str">
        <f>_xlfn.XLOOKUP(B166,Plant_Master!A:A,Plant_Master!C:C)</f>
        <v>Indoor</v>
      </c>
      <c r="J166" s="9">
        <f>_xlfn.XLOOKUP(B166,Nursery_Inventory!B:B,Nursery_Inventory!C:C)</f>
        <v>347</v>
      </c>
    </row>
    <row r="167" spans="1:10" ht="13.2" x14ac:dyDescent="0.25">
      <c r="A167" s="10">
        <v>3139</v>
      </c>
      <c r="B167" s="10">
        <v>1282</v>
      </c>
      <c r="C167" s="10" t="s">
        <v>12</v>
      </c>
      <c r="D167" s="10">
        <v>32</v>
      </c>
      <c r="E167" s="10">
        <v>69</v>
      </c>
      <c r="F167" s="9">
        <f t="shared" si="2"/>
        <v>2208</v>
      </c>
      <c r="G167" s="13" t="s">
        <v>79</v>
      </c>
      <c r="H167" s="9" t="str">
        <f>_xlfn.XLOOKUP(B167,Plant_Master!A:A,Plant_Master!B:B)</f>
        <v>Tulip</v>
      </c>
      <c r="I167" s="9" t="str">
        <f>_xlfn.XLOOKUP(B167,Plant_Master!A:A,Plant_Master!C:C)</f>
        <v>Outdoor</v>
      </c>
      <c r="J167" s="13" t="s">
        <v>73</v>
      </c>
    </row>
    <row r="168" spans="1:10" ht="13.2" x14ac:dyDescent="0.25">
      <c r="A168" s="10">
        <v>3430</v>
      </c>
      <c r="B168" s="10">
        <v>1030</v>
      </c>
      <c r="C168" s="10" t="s">
        <v>12</v>
      </c>
      <c r="D168" s="10">
        <v>41</v>
      </c>
      <c r="E168" s="10">
        <v>186</v>
      </c>
      <c r="F168" s="9">
        <f t="shared" si="2"/>
        <v>7626</v>
      </c>
      <c r="G168" s="13" t="s">
        <v>79</v>
      </c>
      <c r="H168" s="9" t="str">
        <f>_xlfn.XLOOKUP(B168,Plant_Master!A:A,Plant_Master!B:B)</f>
        <v>Cactus</v>
      </c>
      <c r="I168" s="9" t="str">
        <f>_xlfn.XLOOKUP(B168,Plant_Master!A:A,Plant_Master!C:C)</f>
        <v>Medicinal</v>
      </c>
      <c r="J168" s="13" t="s">
        <v>73</v>
      </c>
    </row>
    <row r="169" spans="1:10" ht="13.2" x14ac:dyDescent="0.25">
      <c r="A169" s="10">
        <v>3383</v>
      </c>
      <c r="B169" s="10">
        <v>1244</v>
      </c>
      <c r="C169" s="10" t="s">
        <v>9</v>
      </c>
      <c r="D169" s="10">
        <v>15</v>
      </c>
      <c r="E169" s="10">
        <v>260</v>
      </c>
      <c r="F169" s="9">
        <f t="shared" si="2"/>
        <v>3900</v>
      </c>
      <c r="G169" s="9" t="str">
        <f>_xlfn.XLOOKUP(B169,Nursery_Inventory!B:B,Nursery_Inventory!E:E)</f>
        <v>Pune</v>
      </c>
      <c r="H169" s="9" t="str">
        <f>_xlfn.XLOOKUP(B169,Plant_Master!A:A,Plant_Master!B:B)</f>
        <v>Cactus</v>
      </c>
      <c r="I169" s="9" t="str">
        <f>_xlfn.XLOOKUP(B169,Plant_Master!A:A,Plant_Master!C:C)</f>
        <v>Flower</v>
      </c>
      <c r="J169" s="9">
        <f>_xlfn.XLOOKUP(B169,Nursery_Inventory!B:B,Nursery_Inventory!C:C)</f>
        <v>339</v>
      </c>
    </row>
    <row r="170" spans="1:10" ht="13.2" x14ac:dyDescent="0.25">
      <c r="A170" s="10">
        <v>3486</v>
      </c>
      <c r="B170" s="10">
        <v>1315</v>
      </c>
      <c r="C170" s="10" t="s">
        <v>25</v>
      </c>
      <c r="D170" s="10">
        <v>28</v>
      </c>
      <c r="E170" s="10">
        <v>271</v>
      </c>
      <c r="F170" s="9">
        <f t="shared" si="2"/>
        <v>7588</v>
      </c>
      <c r="G170" s="9" t="str">
        <f>_xlfn.XLOOKUP(B170,Nursery_Inventory!B:B,Nursery_Inventory!E:E)</f>
        <v>Bangalore</v>
      </c>
      <c r="H170" s="9" t="str">
        <f>_xlfn.XLOOKUP(B170,Plant_Master!A:A,Plant_Master!B:B)</f>
        <v>Lily</v>
      </c>
      <c r="I170" s="9" t="str">
        <f>_xlfn.XLOOKUP(B170,Plant_Master!A:A,Plant_Master!C:C)</f>
        <v>Succulent</v>
      </c>
      <c r="J170" s="9">
        <f>_xlfn.XLOOKUP(B170,Nursery_Inventory!B:B,Nursery_Inventory!C:C)</f>
        <v>342</v>
      </c>
    </row>
    <row r="171" spans="1:10" ht="13.2" x14ac:dyDescent="0.25">
      <c r="A171" s="10">
        <v>3305</v>
      </c>
      <c r="B171" s="10">
        <v>1404</v>
      </c>
      <c r="C171" s="10" t="s">
        <v>14</v>
      </c>
      <c r="D171" s="10">
        <v>44</v>
      </c>
      <c r="E171" s="10">
        <v>264</v>
      </c>
      <c r="F171" s="9">
        <f t="shared" si="2"/>
        <v>11616</v>
      </c>
      <c r="G171" s="9" t="str">
        <f>_xlfn.XLOOKUP(B171,Nursery_Inventory!B:B,Nursery_Inventory!E:E)</f>
        <v>Pune</v>
      </c>
      <c r="H171" s="9" t="str">
        <f>_xlfn.XLOOKUP(B171,Plant_Master!A:A,Plant_Master!B:B)</f>
        <v>Jasmine</v>
      </c>
      <c r="I171" s="9" t="str">
        <f>_xlfn.XLOOKUP(B171,Plant_Master!A:A,Plant_Master!C:C)</f>
        <v>Indoor</v>
      </c>
      <c r="J171" s="9">
        <f>_xlfn.XLOOKUP(B171,Nursery_Inventory!B:B,Nursery_Inventory!C:C)</f>
        <v>335</v>
      </c>
    </row>
    <row r="172" spans="1:10" ht="13.2" x14ac:dyDescent="0.25">
      <c r="A172" s="10">
        <v>3188</v>
      </c>
      <c r="B172" s="10">
        <v>1466</v>
      </c>
      <c r="C172" s="10" t="s">
        <v>9</v>
      </c>
      <c r="D172" s="10">
        <v>26</v>
      </c>
      <c r="E172" s="10">
        <v>292</v>
      </c>
      <c r="F172" s="9">
        <f t="shared" si="2"/>
        <v>7592</v>
      </c>
      <c r="G172" s="9" t="str">
        <f>_xlfn.XLOOKUP(B172,Nursery_Inventory!B:B,Nursery_Inventory!E:E)</f>
        <v>Pune</v>
      </c>
      <c r="H172" s="9" t="str">
        <f>_xlfn.XLOOKUP(B172,Plant_Master!A:A,Plant_Master!B:B)</f>
        <v>Rose</v>
      </c>
      <c r="I172" s="9" t="str">
        <f>_xlfn.XLOOKUP(B172,Plant_Master!A:A,Plant_Master!C:C)</f>
        <v>Succulent</v>
      </c>
      <c r="J172" s="9">
        <f>_xlfn.XLOOKUP(B172,Nursery_Inventory!B:B,Nursery_Inventory!C:C)</f>
        <v>330</v>
      </c>
    </row>
    <row r="173" spans="1:10" ht="13.2" x14ac:dyDescent="0.25">
      <c r="A173" s="10">
        <v>3237</v>
      </c>
      <c r="B173" s="10">
        <v>1104</v>
      </c>
      <c r="C173" s="10" t="s">
        <v>25</v>
      </c>
      <c r="D173" s="10">
        <v>16</v>
      </c>
      <c r="E173" s="10">
        <v>443</v>
      </c>
      <c r="F173" s="9">
        <f t="shared" si="2"/>
        <v>7088</v>
      </c>
      <c r="G173" s="9" t="str">
        <f>_xlfn.XLOOKUP(B173,Nursery_Inventory!B:B,Nursery_Inventory!E:E)</f>
        <v>Bangalore</v>
      </c>
      <c r="H173" s="9" t="str">
        <f>_xlfn.XLOOKUP(B173,Plant_Master!A:A,Plant_Master!B:B)</f>
        <v>Lily</v>
      </c>
      <c r="I173" s="9" t="str">
        <f>_xlfn.XLOOKUP(B173,Plant_Master!A:A,Plant_Master!C:C)</f>
        <v>Flower</v>
      </c>
      <c r="J173" s="9">
        <f>_xlfn.XLOOKUP(B173,Nursery_Inventory!B:B,Nursery_Inventory!C:C)</f>
        <v>194</v>
      </c>
    </row>
    <row r="174" spans="1:10" ht="13.2" x14ac:dyDescent="0.25">
      <c r="A174" s="10">
        <v>3086</v>
      </c>
      <c r="B174" s="10">
        <v>1485</v>
      </c>
      <c r="C174" s="10" t="s">
        <v>9</v>
      </c>
      <c r="D174" s="10">
        <v>46</v>
      </c>
      <c r="E174" s="10">
        <v>160</v>
      </c>
      <c r="F174" s="9">
        <f t="shared" si="2"/>
        <v>7360</v>
      </c>
      <c r="G174" s="9" t="str">
        <f>_xlfn.XLOOKUP(B174,Nursery_Inventory!B:B,Nursery_Inventory!E:E)</f>
        <v>Mumbai</v>
      </c>
      <c r="H174" s="9" t="str">
        <f>_xlfn.XLOOKUP(B174,Plant_Master!A:A,Plant_Master!B:B)</f>
        <v>Tulip</v>
      </c>
      <c r="I174" s="9" t="str">
        <f>_xlfn.XLOOKUP(B174,Plant_Master!A:A,Plant_Master!C:C)</f>
        <v>Succulent</v>
      </c>
      <c r="J174" s="9">
        <f>_xlfn.XLOOKUP(B174,Nursery_Inventory!B:B,Nursery_Inventory!C:C)</f>
        <v>165</v>
      </c>
    </row>
    <row r="175" spans="1:10" ht="13.2" x14ac:dyDescent="0.25">
      <c r="A175" s="10">
        <v>3460</v>
      </c>
      <c r="B175" s="10">
        <v>1235</v>
      </c>
      <c r="C175" s="10" t="s">
        <v>14</v>
      </c>
      <c r="D175" s="10">
        <v>31</v>
      </c>
      <c r="E175" s="10">
        <v>237</v>
      </c>
      <c r="F175" s="9">
        <f t="shared" si="2"/>
        <v>7347</v>
      </c>
      <c r="G175" s="13" t="s">
        <v>79</v>
      </c>
      <c r="H175" s="9" t="str">
        <f>_xlfn.XLOOKUP(B175,Plant_Master!A:A,Plant_Master!B:B)</f>
        <v>Rose</v>
      </c>
      <c r="I175" s="9" t="str">
        <f>_xlfn.XLOOKUP(B175,Plant_Master!A:A,Plant_Master!C:C)</f>
        <v>Outdoor</v>
      </c>
      <c r="J175" s="13" t="s">
        <v>73</v>
      </c>
    </row>
    <row r="176" spans="1:10" ht="13.2" x14ac:dyDescent="0.25">
      <c r="A176" s="10">
        <v>3222</v>
      </c>
      <c r="B176" s="10">
        <v>1493</v>
      </c>
      <c r="C176" s="10" t="s">
        <v>12</v>
      </c>
      <c r="D176" s="10">
        <v>29</v>
      </c>
      <c r="E176" s="10">
        <v>253</v>
      </c>
      <c r="F176" s="9">
        <f t="shared" si="2"/>
        <v>7337</v>
      </c>
      <c r="G176" s="13" t="s">
        <v>79</v>
      </c>
      <c r="H176" s="9" t="str">
        <f>_xlfn.XLOOKUP(B176,Plant_Master!A:A,Plant_Master!B:B)</f>
        <v>Rose</v>
      </c>
      <c r="I176" s="9" t="str">
        <f>_xlfn.XLOOKUP(B176,Plant_Master!A:A,Plant_Master!C:C)</f>
        <v>Indoor</v>
      </c>
      <c r="J176" s="13" t="s">
        <v>73</v>
      </c>
    </row>
    <row r="177" spans="1:10" ht="13.2" x14ac:dyDescent="0.25">
      <c r="A177" s="10">
        <v>3472</v>
      </c>
      <c r="B177" s="10">
        <v>1474</v>
      </c>
      <c r="C177" s="10" t="s">
        <v>14</v>
      </c>
      <c r="D177" s="10">
        <v>22</v>
      </c>
      <c r="E177" s="10">
        <v>330</v>
      </c>
      <c r="F177" s="9">
        <f t="shared" si="2"/>
        <v>7260</v>
      </c>
      <c r="G177" s="13" t="s">
        <v>79</v>
      </c>
      <c r="H177" s="9" t="str">
        <f>_xlfn.XLOOKUP(B177,Plant_Master!A:A,Plant_Master!B:B)</f>
        <v>Bamboo</v>
      </c>
      <c r="I177" s="9" t="str">
        <f>_xlfn.XLOOKUP(B177,Plant_Master!A:A,Plant_Master!C:C)</f>
        <v>Medicinal</v>
      </c>
      <c r="J177" s="13" t="s">
        <v>73</v>
      </c>
    </row>
    <row r="178" spans="1:10" ht="13.2" x14ac:dyDescent="0.25">
      <c r="A178" s="10">
        <v>3003</v>
      </c>
      <c r="B178" s="10">
        <v>1342</v>
      </c>
      <c r="C178" s="10" t="s">
        <v>9</v>
      </c>
      <c r="D178" s="10">
        <v>38</v>
      </c>
      <c r="E178" s="10">
        <v>58</v>
      </c>
      <c r="F178" s="9">
        <f t="shared" si="2"/>
        <v>2204</v>
      </c>
      <c r="G178" s="9" t="str">
        <f>_xlfn.XLOOKUP(B178,Nursery_Inventory!B:B,Nursery_Inventory!E:E)</f>
        <v>Pune</v>
      </c>
      <c r="H178" s="9" t="str">
        <f>_xlfn.XLOOKUP(B178,Plant_Master!A:A,Plant_Master!B:B)</f>
        <v>Palm</v>
      </c>
      <c r="I178" s="9" t="str">
        <f>_xlfn.XLOOKUP(B178,Plant_Master!A:A,Plant_Master!C:C)</f>
        <v>Flower</v>
      </c>
      <c r="J178" s="9">
        <f>_xlfn.XLOOKUP(B178,Nursery_Inventory!B:B,Nursery_Inventory!C:C)</f>
        <v>330</v>
      </c>
    </row>
    <row r="179" spans="1:10" ht="13.2" x14ac:dyDescent="0.25">
      <c r="A179" s="10">
        <v>3382</v>
      </c>
      <c r="B179" s="10">
        <v>1387</v>
      </c>
      <c r="C179" s="10" t="s">
        <v>25</v>
      </c>
      <c r="D179" s="10">
        <v>46</v>
      </c>
      <c r="E179" s="10">
        <v>181</v>
      </c>
      <c r="F179" s="9">
        <f t="shared" si="2"/>
        <v>8326</v>
      </c>
      <c r="G179" s="9" t="str">
        <f>_xlfn.XLOOKUP(B179,Nursery_Inventory!B:B,Nursery_Inventory!E:E)</f>
        <v>Mumbai</v>
      </c>
      <c r="H179" s="9" t="str">
        <f>_xlfn.XLOOKUP(B179,Plant_Master!A:A,Plant_Master!B:B)</f>
        <v>Jasmine</v>
      </c>
      <c r="I179" s="9" t="str">
        <f>_xlfn.XLOOKUP(B179,Plant_Master!A:A,Plant_Master!C:C)</f>
        <v>Flower</v>
      </c>
      <c r="J179" s="9">
        <f>_xlfn.XLOOKUP(B179,Nursery_Inventory!B:B,Nursery_Inventory!C:C)</f>
        <v>458</v>
      </c>
    </row>
    <row r="180" spans="1:10" ht="13.2" x14ac:dyDescent="0.25">
      <c r="A180" s="10">
        <v>3093</v>
      </c>
      <c r="B180" s="10">
        <v>1144</v>
      </c>
      <c r="C180" s="10" t="s">
        <v>7</v>
      </c>
      <c r="D180" s="10">
        <v>18</v>
      </c>
      <c r="E180" s="10">
        <v>396</v>
      </c>
      <c r="F180" s="9">
        <f t="shared" si="2"/>
        <v>7128</v>
      </c>
      <c r="G180" s="9" t="str">
        <f>_xlfn.XLOOKUP(B180,Nursery_Inventory!B:B,Nursery_Inventory!E:E)</f>
        <v>Chennai</v>
      </c>
      <c r="H180" s="9" t="str">
        <f>_xlfn.XLOOKUP(B180,Plant_Master!A:A,Plant_Master!B:B)</f>
        <v>Cactus</v>
      </c>
      <c r="I180" s="9" t="str">
        <f>_xlfn.XLOOKUP(B180,Plant_Master!A:A,Plant_Master!C:C)</f>
        <v>Medicinal</v>
      </c>
      <c r="J180" s="9">
        <f>_xlfn.XLOOKUP(B180,Nursery_Inventory!B:B,Nursery_Inventory!C:C)</f>
        <v>188</v>
      </c>
    </row>
    <row r="181" spans="1:10" ht="13.2" x14ac:dyDescent="0.25">
      <c r="A181" s="10">
        <v>3266</v>
      </c>
      <c r="B181" s="10">
        <v>1042</v>
      </c>
      <c r="C181" s="10" t="s">
        <v>14</v>
      </c>
      <c r="D181" s="10">
        <v>25</v>
      </c>
      <c r="E181" s="10">
        <v>285</v>
      </c>
      <c r="F181" s="9">
        <f t="shared" si="2"/>
        <v>7125</v>
      </c>
      <c r="G181" s="9" t="str">
        <f>_xlfn.XLOOKUP(B181,Nursery_Inventory!B:B,Nursery_Inventory!E:E)</f>
        <v>Chennai</v>
      </c>
      <c r="H181" s="9" t="str">
        <f>_xlfn.XLOOKUP(B181,Plant_Master!A:A,Plant_Master!B:B)</f>
        <v>Cactus</v>
      </c>
      <c r="I181" s="9" t="str">
        <f>_xlfn.XLOOKUP(B181,Plant_Master!A:A,Plant_Master!C:C)</f>
        <v>Indoor</v>
      </c>
      <c r="J181" s="9">
        <f>_xlfn.XLOOKUP(B181,Nursery_Inventory!B:B,Nursery_Inventory!C:C)</f>
        <v>426</v>
      </c>
    </row>
    <row r="182" spans="1:10" ht="13.2" x14ac:dyDescent="0.25">
      <c r="A182" s="10">
        <v>3013</v>
      </c>
      <c r="B182" s="10">
        <v>1480</v>
      </c>
      <c r="C182" s="10" t="s">
        <v>14</v>
      </c>
      <c r="D182" s="10">
        <v>23</v>
      </c>
      <c r="E182" s="10">
        <v>291</v>
      </c>
      <c r="F182" s="9">
        <f t="shared" si="2"/>
        <v>6693</v>
      </c>
      <c r="G182" s="9" t="str">
        <f>_xlfn.XLOOKUP(B182,Nursery_Inventory!B:B,Nursery_Inventory!E:E)</f>
        <v>Pune</v>
      </c>
      <c r="H182" s="9" t="str">
        <f>_xlfn.XLOOKUP(B182,Plant_Master!A:A,Plant_Master!B:B)</f>
        <v>Palm</v>
      </c>
      <c r="I182" s="9" t="str">
        <f>_xlfn.XLOOKUP(B182,Plant_Master!A:A,Plant_Master!C:C)</f>
        <v>Medicinal</v>
      </c>
      <c r="J182" s="9">
        <f>_xlfn.XLOOKUP(B182,Nursery_Inventory!B:B,Nursery_Inventory!C:C)</f>
        <v>315</v>
      </c>
    </row>
    <row r="183" spans="1:10" ht="13.2" x14ac:dyDescent="0.25">
      <c r="A183" s="10">
        <v>3491</v>
      </c>
      <c r="B183" s="10">
        <v>1304</v>
      </c>
      <c r="C183" s="10" t="s">
        <v>12</v>
      </c>
      <c r="D183" s="10">
        <v>19</v>
      </c>
      <c r="E183" s="10">
        <v>373</v>
      </c>
      <c r="F183" s="9">
        <f t="shared" si="2"/>
        <v>7087</v>
      </c>
      <c r="G183" s="13" t="s">
        <v>79</v>
      </c>
      <c r="H183" s="9" t="str">
        <f>_xlfn.XLOOKUP(B183,Plant_Master!A:A,Plant_Master!B:B)</f>
        <v>Bamboo</v>
      </c>
      <c r="I183" s="9" t="str">
        <f>_xlfn.XLOOKUP(B183,Plant_Master!A:A,Plant_Master!C:C)</f>
        <v>Medicinal</v>
      </c>
      <c r="J183" s="13" t="s">
        <v>73</v>
      </c>
    </row>
    <row r="184" spans="1:10" ht="13.2" x14ac:dyDescent="0.25">
      <c r="A184" s="10">
        <v>3366</v>
      </c>
      <c r="B184" s="10">
        <v>1337</v>
      </c>
      <c r="C184" s="10" t="s">
        <v>12</v>
      </c>
      <c r="D184" s="10">
        <v>18</v>
      </c>
      <c r="E184" s="10">
        <v>373</v>
      </c>
      <c r="F184" s="9">
        <f t="shared" si="2"/>
        <v>6714</v>
      </c>
      <c r="G184" s="9" t="str">
        <f>_xlfn.XLOOKUP(B184,Nursery_Inventory!B:B,Nursery_Inventory!E:E)</f>
        <v>Delhi</v>
      </c>
      <c r="H184" s="9" t="str">
        <f>_xlfn.XLOOKUP(B184,Plant_Master!A:A,Plant_Master!B:B)</f>
        <v>Rose</v>
      </c>
      <c r="I184" s="9" t="str">
        <f>_xlfn.XLOOKUP(B184,Plant_Master!A:A,Plant_Master!C:C)</f>
        <v>Outdoor</v>
      </c>
      <c r="J184" s="9">
        <f>_xlfn.XLOOKUP(B184,Nursery_Inventory!B:B,Nursery_Inventory!C:C)</f>
        <v>386</v>
      </c>
    </row>
    <row r="185" spans="1:10" ht="13.2" x14ac:dyDescent="0.25">
      <c r="A185" s="10">
        <v>3417</v>
      </c>
      <c r="B185" s="10">
        <v>1394</v>
      </c>
      <c r="C185" s="10" t="s">
        <v>12</v>
      </c>
      <c r="D185" s="10">
        <v>30</v>
      </c>
      <c r="E185" s="10">
        <v>235</v>
      </c>
      <c r="F185" s="9">
        <f t="shared" si="2"/>
        <v>7050</v>
      </c>
      <c r="G185" s="13" t="s">
        <v>79</v>
      </c>
      <c r="H185" s="9" t="str">
        <f>_xlfn.XLOOKUP(B185,Plant_Master!A:A,Plant_Master!B:B)</f>
        <v>Fern</v>
      </c>
      <c r="I185" s="9" t="str">
        <f>_xlfn.XLOOKUP(B185,Plant_Master!A:A,Plant_Master!C:C)</f>
        <v>Indoor</v>
      </c>
      <c r="J185" s="13" t="s">
        <v>73</v>
      </c>
    </row>
    <row r="186" spans="1:10" ht="13.2" x14ac:dyDescent="0.25">
      <c r="A186" s="10">
        <v>3106</v>
      </c>
      <c r="B186" s="10">
        <v>1266</v>
      </c>
      <c r="C186" s="10" t="s">
        <v>9</v>
      </c>
      <c r="D186" s="10">
        <v>40</v>
      </c>
      <c r="E186" s="10">
        <v>175</v>
      </c>
      <c r="F186" s="9">
        <f t="shared" si="2"/>
        <v>7000</v>
      </c>
      <c r="G186" s="9" t="str">
        <f>_xlfn.XLOOKUP(B186,Nursery_Inventory!B:B,Nursery_Inventory!E:E)</f>
        <v>Mumbai</v>
      </c>
      <c r="H186" s="9" t="str">
        <f>_xlfn.XLOOKUP(B186,Plant_Master!A:A,Plant_Master!B:B)</f>
        <v>Tulip</v>
      </c>
      <c r="I186" s="9" t="str">
        <f>_xlfn.XLOOKUP(B186,Plant_Master!A:A,Plant_Master!C:C)</f>
        <v>Indoor</v>
      </c>
      <c r="J186" s="9">
        <f>_xlfn.XLOOKUP(B186,Nursery_Inventory!B:B,Nursery_Inventory!C:C)</f>
        <v>116</v>
      </c>
    </row>
    <row r="187" spans="1:10" ht="13.2" x14ac:dyDescent="0.25">
      <c r="A187" s="10">
        <v>3372</v>
      </c>
      <c r="B187" s="10">
        <v>1473</v>
      </c>
      <c r="C187" s="10" t="s">
        <v>12</v>
      </c>
      <c r="D187" s="10">
        <v>17</v>
      </c>
      <c r="E187" s="10">
        <v>337</v>
      </c>
      <c r="F187" s="9">
        <f t="shared" si="2"/>
        <v>5729</v>
      </c>
      <c r="G187" s="9" t="str">
        <f>_xlfn.XLOOKUP(B187,Nursery_Inventory!B:B,Nursery_Inventory!E:E)</f>
        <v>Delhi</v>
      </c>
      <c r="H187" s="9" t="str">
        <f>_xlfn.XLOOKUP(B187,Plant_Master!A:A,Plant_Master!B:B)</f>
        <v>Rose</v>
      </c>
      <c r="I187" s="9" t="str">
        <f>_xlfn.XLOOKUP(B187,Plant_Master!A:A,Plant_Master!C:C)</f>
        <v>Flower</v>
      </c>
      <c r="J187" s="9">
        <f>_xlfn.XLOOKUP(B187,Nursery_Inventory!B:B,Nursery_Inventory!C:C)</f>
        <v>374</v>
      </c>
    </row>
    <row r="188" spans="1:10" ht="13.2" x14ac:dyDescent="0.25">
      <c r="A188" s="10">
        <v>3429</v>
      </c>
      <c r="B188" s="10">
        <v>1065</v>
      </c>
      <c r="C188" s="10" t="s">
        <v>14</v>
      </c>
      <c r="D188" s="10">
        <v>46</v>
      </c>
      <c r="E188" s="10">
        <v>486</v>
      </c>
      <c r="F188" s="9">
        <f t="shared" si="2"/>
        <v>22356</v>
      </c>
      <c r="G188" s="9" t="str">
        <f>_xlfn.XLOOKUP(B188,Nursery_Inventory!B:B,Nursery_Inventory!E:E)</f>
        <v>Bangalore</v>
      </c>
      <c r="H188" s="9" t="str">
        <f>_xlfn.XLOOKUP(B188,Plant_Master!A:A,Plant_Master!B:B)</f>
        <v>Aloe</v>
      </c>
      <c r="I188" s="9" t="str">
        <f>_xlfn.XLOOKUP(B188,Plant_Master!A:A,Plant_Master!C:C)</f>
        <v>Succulent</v>
      </c>
      <c r="J188" s="9">
        <f>_xlfn.XLOOKUP(B188,Nursery_Inventory!B:B,Nursery_Inventory!C:C)</f>
        <v>131</v>
      </c>
    </row>
    <row r="189" spans="1:10" ht="13.2" x14ac:dyDescent="0.25">
      <c r="A189" s="10">
        <v>3216</v>
      </c>
      <c r="B189" s="10">
        <v>1276</v>
      </c>
      <c r="C189" s="10" t="s">
        <v>12</v>
      </c>
      <c r="D189" s="10">
        <v>41</v>
      </c>
      <c r="E189" s="10">
        <v>169</v>
      </c>
      <c r="F189" s="9">
        <f t="shared" si="2"/>
        <v>6929</v>
      </c>
      <c r="G189" s="13" t="s">
        <v>79</v>
      </c>
      <c r="H189" s="9" t="str">
        <f>_xlfn.XLOOKUP(B189,Plant_Master!A:A,Plant_Master!B:B)</f>
        <v>Lily</v>
      </c>
      <c r="I189" s="9" t="str">
        <f>_xlfn.XLOOKUP(B189,Plant_Master!A:A,Plant_Master!C:C)</f>
        <v>Medicinal</v>
      </c>
      <c r="J189" s="13" t="s">
        <v>73</v>
      </c>
    </row>
    <row r="190" spans="1:10" ht="13.2" x14ac:dyDescent="0.25">
      <c r="A190" s="10">
        <v>3220</v>
      </c>
      <c r="B190" s="10">
        <v>1406</v>
      </c>
      <c r="C190" s="10" t="s">
        <v>7</v>
      </c>
      <c r="D190" s="10">
        <v>22</v>
      </c>
      <c r="E190" s="10">
        <v>314</v>
      </c>
      <c r="F190" s="9">
        <f t="shared" si="2"/>
        <v>6908</v>
      </c>
      <c r="G190" s="13" t="s">
        <v>79</v>
      </c>
      <c r="H190" s="9" t="str">
        <f>_xlfn.XLOOKUP(B190,Plant_Master!A:A,Plant_Master!B:B)</f>
        <v>Orchid</v>
      </c>
      <c r="I190" s="9" t="str">
        <f>_xlfn.XLOOKUP(B190,Plant_Master!A:A,Plant_Master!C:C)</f>
        <v>Medicinal</v>
      </c>
      <c r="J190" s="13" t="s">
        <v>73</v>
      </c>
    </row>
    <row r="191" spans="1:10" ht="13.2" x14ac:dyDescent="0.25">
      <c r="A191" s="10">
        <v>3482</v>
      </c>
      <c r="B191" s="10">
        <v>1102</v>
      </c>
      <c r="C191" s="10" t="s">
        <v>9</v>
      </c>
      <c r="D191" s="10">
        <v>45</v>
      </c>
      <c r="E191" s="10">
        <v>233</v>
      </c>
      <c r="F191" s="9">
        <f t="shared" si="2"/>
        <v>10485</v>
      </c>
      <c r="G191" s="9" t="str">
        <f>_xlfn.XLOOKUP(B191,Nursery_Inventory!B:B,Nursery_Inventory!E:E)</f>
        <v>Pune</v>
      </c>
      <c r="H191" s="9" t="str">
        <f>_xlfn.XLOOKUP(B191,Plant_Master!A:A,Plant_Master!B:B)</f>
        <v>Rose</v>
      </c>
      <c r="I191" s="9" t="str">
        <f>_xlfn.XLOOKUP(B191,Plant_Master!A:A,Plant_Master!C:C)</f>
        <v>Medicinal</v>
      </c>
      <c r="J191" s="9">
        <f>_xlfn.XLOOKUP(B191,Nursery_Inventory!B:B,Nursery_Inventory!C:C)</f>
        <v>314</v>
      </c>
    </row>
    <row r="192" spans="1:10" ht="13.2" x14ac:dyDescent="0.25">
      <c r="A192" s="10">
        <v>3267</v>
      </c>
      <c r="B192" s="10">
        <v>1349</v>
      </c>
      <c r="C192" s="10" t="s">
        <v>7</v>
      </c>
      <c r="D192" s="10">
        <v>39</v>
      </c>
      <c r="E192" s="10">
        <v>176</v>
      </c>
      <c r="F192" s="9">
        <f t="shared" si="2"/>
        <v>6864</v>
      </c>
      <c r="G192" s="9" t="str">
        <f>_xlfn.XLOOKUP(B192,Nursery_Inventory!B:B,Nursery_Inventory!E:E)</f>
        <v>Chennai</v>
      </c>
      <c r="H192" s="9" t="str">
        <f>_xlfn.XLOOKUP(B192,Plant_Master!A:A,Plant_Master!B:B)</f>
        <v>Jasmine</v>
      </c>
      <c r="I192" s="9" t="str">
        <f>_xlfn.XLOOKUP(B192,Plant_Master!A:A,Plant_Master!C:C)</f>
        <v>Succulent</v>
      </c>
      <c r="J192" s="9">
        <f>_xlfn.XLOOKUP(B192,Nursery_Inventory!B:B,Nursery_Inventory!C:C)</f>
        <v>223</v>
      </c>
    </row>
    <row r="193" spans="1:10" ht="13.2" x14ac:dyDescent="0.25">
      <c r="A193" s="10">
        <v>3189</v>
      </c>
      <c r="B193" s="10">
        <v>1316</v>
      </c>
      <c r="C193" s="10" t="s">
        <v>25</v>
      </c>
      <c r="D193" s="10">
        <v>35</v>
      </c>
      <c r="E193" s="10">
        <v>196</v>
      </c>
      <c r="F193" s="9">
        <f t="shared" si="2"/>
        <v>6860</v>
      </c>
      <c r="G193" s="13" t="s">
        <v>79</v>
      </c>
      <c r="H193" s="9" t="str">
        <f>_xlfn.XLOOKUP(B193,Plant_Master!A:A,Plant_Master!B:B)</f>
        <v>Bamboo</v>
      </c>
      <c r="I193" s="9" t="str">
        <f>_xlfn.XLOOKUP(B193,Plant_Master!A:A,Plant_Master!C:C)</f>
        <v>Indoor</v>
      </c>
      <c r="J193" s="13" t="s">
        <v>73</v>
      </c>
    </row>
    <row r="194" spans="1:10" ht="13.2" x14ac:dyDescent="0.25">
      <c r="A194" s="10">
        <v>3494</v>
      </c>
      <c r="B194" s="10">
        <v>1205</v>
      </c>
      <c r="C194" s="10" t="s">
        <v>7</v>
      </c>
      <c r="D194" s="10">
        <v>38</v>
      </c>
      <c r="E194" s="10">
        <v>492</v>
      </c>
      <c r="F194" s="9">
        <f t="shared" ref="F194:F257" si="3">D194*E194</f>
        <v>18696</v>
      </c>
      <c r="G194" s="9" t="str">
        <f>_xlfn.XLOOKUP(B194,Nursery_Inventory!B:B,Nursery_Inventory!E:E)</f>
        <v>Mumbai</v>
      </c>
      <c r="H194" s="9" t="str">
        <f>_xlfn.XLOOKUP(B194,Plant_Master!A:A,Plant_Master!B:B)</f>
        <v>Rose</v>
      </c>
      <c r="I194" s="9" t="str">
        <f>_xlfn.XLOOKUP(B194,Plant_Master!A:A,Plant_Master!C:C)</f>
        <v>Flower</v>
      </c>
      <c r="J194" s="9">
        <f>_xlfn.XLOOKUP(B194,Nursery_Inventory!B:B,Nursery_Inventory!C:C)</f>
        <v>434</v>
      </c>
    </row>
    <row r="195" spans="1:10" ht="13.2" x14ac:dyDescent="0.25">
      <c r="A195" s="10">
        <v>3215</v>
      </c>
      <c r="B195" s="10">
        <v>1256</v>
      </c>
      <c r="C195" s="10" t="s">
        <v>9</v>
      </c>
      <c r="D195" s="10">
        <v>14</v>
      </c>
      <c r="E195" s="10">
        <v>475</v>
      </c>
      <c r="F195" s="9">
        <f t="shared" si="3"/>
        <v>6650</v>
      </c>
      <c r="G195" s="9" t="str">
        <f>_xlfn.XLOOKUP(B195,Nursery_Inventory!B:B,Nursery_Inventory!E:E)</f>
        <v>Bangalore</v>
      </c>
      <c r="H195" s="9" t="str">
        <f>_xlfn.XLOOKUP(B195,Plant_Master!A:A,Plant_Master!B:B)</f>
        <v>Palm</v>
      </c>
      <c r="I195" s="9" t="str">
        <f>_xlfn.XLOOKUP(B195,Plant_Master!A:A,Plant_Master!C:C)</f>
        <v>Succulent</v>
      </c>
      <c r="J195" s="9">
        <f>_xlfn.XLOOKUP(B195,Nursery_Inventory!B:B,Nursery_Inventory!C:C)</f>
        <v>290</v>
      </c>
    </row>
    <row r="196" spans="1:10" ht="13.2" x14ac:dyDescent="0.25">
      <c r="A196" s="10">
        <v>3483</v>
      </c>
      <c r="B196" s="10">
        <v>1438</v>
      </c>
      <c r="C196" s="10" t="s">
        <v>25</v>
      </c>
      <c r="D196" s="10">
        <v>35</v>
      </c>
      <c r="E196" s="10">
        <v>194</v>
      </c>
      <c r="F196" s="9">
        <f t="shared" si="3"/>
        <v>6790</v>
      </c>
      <c r="G196" s="13" t="s">
        <v>79</v>
      </c>
      <c r="H196" s="9" t="str">
        <f>_xlfn.XLOOKUP(B196,Plant_Master!A:A,Plant_Master!B:B)</f>
        <v>Cactus</v>
      </c>
      <c r="I196" s="9" t="str">
        <f>_xlfn.XLOOKUP(B196,Plant_Master!A:A,Plant_Master!C:C)</f>
        <v>Medicinal</v>
      </c>
      <c r="J196" s="13" t="s">
        <v>73</v>
      </c>
    </row>
    <row r="197" spans="1:10" ht="13.2" x14ac:dyDescent="0.25">
      <c r="A197" s="10">
        <v>3198</v>
      </c>
      <c r="B197" s="10">
        <v>1205</v>
      </c>
      <c r="C197" s="10" t="s">
        <v>25</v>
      </c>
      <c r="D197" s="10">
        <v>21</v>
      </c>
      <c r="E197" s="10">
        <v>228</v>
      </c>
      <c r="F197" s="9">
        <f t="shared" si="3"/>
        <v>4788</v>
      </c>
      <c r="G197" s="9" t="str">
        <f>_xlfn.XLOOKUP(B197,Nursery_Inventory!B:B,Nursery_Inventory!E:E)</f>
        <v>Mumbai</v>
      </c>
      <c r="H197" s="9" t="str">
        <f>_xlfn.XLOOKUP(B197,Plant_Master!A:A,Plant_Master!B:B)</f>
        <v>Rose</v>
      </c>
      <c r="I197" s="9" t="str">
        <f>_xlfn.XLOOKUP(B197,Plant_Master!A:A,Plant_Master!C:C)</f>
        <v>Flower</v>
      </c>
      <c r="J197" s="9">
        <f>_xlfn.XLOOKUP(B197,Nursery_Inventory!B:B,Nursery_Inventory!C:C)</f>
        <v>434</v>
      </c>
    </row>
    <row r="198" spans="1:10" ht="13.2" x14ac:dyDescent="0.25">
      <c r="A198" s="10">
        <v>3263</v>
      </c>
      <c r="B198" s="10">
        <v>1423</v>
      </c>
      <c r="C198" s="10" t="s">
        <v>12</v>
      </c>
      <c r="D198" s="10">
        <v>20</v>
      </c>
      <c r="E198" s="10">
        <v>336</v>
      </c>
      <c r="F198" s="9">
        <f t="shared" si="3"/>
        <v>6720</v>
      </c>
      <c r="G198" s="9" t="str">
        <f>_xlfn.XLOOKUP(B198,Nursery_Inventory!B:B,Nursery_Inventory!E:E)</f>
        <v>Mumbai</v>
      </c>
      <c r="H198" s="9" t="str">
        <f>_xlfn.XLOOKUP(B198,Plant_Master!A:A,Plant_Master!B:B)</f>
        <v>Fern</v>
      </c>
      <c r="I198" s="9" t="str">
        <f>_xlfn.XLOOKUP(B198,Plant_Master!A:A,Plant_Master!C:C)</f>
        <v>Medicinal</v>
      </c>
      <c r="J198" s="9">
        <f>_xlfn.XLOOKUP(B198,Nursery_Inventory!B:B,Nursery_Inventory!C:C)</f>
        <v>198</v>
      </c>
    </row>
    <row r="199" spans="1:10" ht="13.2" x14ac:dyDescent="0.25">
      <c r="A199" s="10">
        <v>3297</v>
      </c>
      <c r="B199" s="10">
        <v>1161</v>
      </c>
      <c r="C199" s="10" t="s">
        <v>7</v>
      </c>
      <c r="D199" s="10">
        <v>29</v>
      </c>
      <c r="E199" s="10">
        <v>150</v>
      </c>
      <c r="F199" s="9">
        <f t="shared" si="3"/>
        <v>4350</v>
      </c>
      <c r="G199" s="9" t="str">
        <f>_xlfn.XLOOKUP(B199,Nursery_Inventory!B:B,Nursery_Inventory!E:E)</f>
        <v>Chennai</v>
      </c>
      <c r="H199" s="9" t="str">
        <f>_xlfn.XLOOKUP(B199,Plant_Master!A:A,Plant_Master!B:B)</f>
        <v>Bamboo</v>
      </c>
      <c r="I199" s="9" t="str">
        <f>_xlfn.XLOOKUP(B199,Plant_Master!A:A,Plant_Master!C:C)</f>
        <v>Outdoor</v>
      </c>
      <c r="J199" s="9">
        <f>_xlfn.XLOOKUP(B199,Nursery_Inventory!B:B,Nursery_Inventory!C:C)</f>
        <v>167</v>
      </c>
    </row>
    <row r="200" spans="1:10" ht="13.2" x14ac:dyDescent="0.25">
      <c r="A200" s="10">
        <v>3358</v>
      </c>
      <c r="B200" s="10">
        <v>1102</v>
      </c>
      <c r="C200" s="10" t="s">
        <v>12</v>
      </c>
      <c r="D200" s="10">
        <v>45</v>
      </c>
      <c r="E200" s="10">
        <v>71</v>
      </c>
      <c r="F200" s="9">
        <f t="shared" si="3"/>
        <v>3195</v>
      </c>
      <c r="G200" s="9" t="str">
        <f>_xlfn.XLOOKUP(B200,Nursery_Inventory!B:B,Nursery_Inventory!E:E)</f>
        <v>Pune</v>
      </c>
      <c r="H200" s="9" t="str">
        <f>_xlfn.XLOOKUP(B200,Plant_Master!A:A,Plant_Master!B:B)</f>
        <v>Rose</v>
      </c>
      <c r="I200" s="9" t="str">
        <f>_xlfn.XLOOKUP(B200,Plant_Master!A:A,Plant_Master!C:C)</f>
        <v>Medicinal</v>
      </c>
      <c r="J200" s="9">
        <f>_xlfn.XLOOKUP(B200,Nursery_Inventory!B:B,Nursery_Inventory!C:C)</f>
        <v>314</v>
      </c>
    </row>
    <row r="201" spans="1:10" ht="13.2" x14ac:dyDescent="0.25">
      <c r="A201" s="10">
        <v>3214</v>
      </c>
      <c r="B201" s="10">
        <v>1205</v>
      </c>
      <c r="C201" s="10" t="s">
        <v>25</v>
      </c>
      <c r="D201" s="10">
        <v>12</v>
      </c>
      <c r="E201" s="10">
        <v>237</v>
      </c>
      <c r="F201" s="9">
        <f t="shared" si="3"/>
        <v>2844</v>
      </c>
      <c r="G201" s="9" t="str">
        <f>_xlfn.XLOOKUP(B201,Nursery_Inventory!B:B,Nursery_Inventory!E:E)</f>
        <v>Mumbai</v>
      </c>
      <c r="H201" s="9" t="str">
        <f>_xlfn.XLOOKUP(B201,Plant_Master!A:A,Plant_Master!B:B)</f>
        <v>Rose</v>
      </c>
      <c r="I201" s="9" t="str">
        <f>_xlfn.XLOOKUP(B201,Plant_Master!A:A,Plant_Master!C:C)</f>
        <v>Flower</v>
      </c>
      <c r="J201" s="9">
        <f>_xlfn.XLOOKUP(B201,Nursery_Inventory!B:B,Nursery_Inventory!C:C)</f>
        <v>434</v>
      </c>
    </row>
    <row r="202" spans="1:10" ht="13.2" x14ac:dyDescent="0.25">
      <c r="A202" s="10">
        <v>3360</v>
      </c>
      <c r="B202" s="10">
        <v>1460</v>
      </c>
      <c r="C202" s="10" t="s">
        <v>25</v>
      </c>
      <c r="D202" s="10">
        <v>33</v>
      </c>
      <c r="E202" s="10">
        <v>199</v>
      </c>
      <c r="F202" s="9">
        <f t="shared" si="3"/>
        <v>6567</v>
      </c>
      <c r="G202" s="9" t="str">
        <f>_xlfn.XLOOKUP(B202,Nursery_Inventory!B:B,Nursery_Inventory!E:E)</f>
        <v>Bangalore</v>
      </c>
      <c r="H202" s="9" t="str">
        <f>_xlfn.XLOOKUP(B202,Plant_Master!A:A,Plant_Master!B:B)</f>
        <v>Fern</v>
      </c>
      <c r="I202" s="9" t="str">
        <f>_xlfn.XLOOKUP(B202,Plant_Master!A:A,Plant_Master!C:C)</f>
        <v>Medicinal</v>
      </c>
      <c r="J202" s="9">
        <f>_xlfn.XLOOKUP(B202,Nursery_Inventory!B:B,Nursery_Inventory!C:C)</f>
        <v>107</v>
      </c>
    </row>
    <row r="203" spans="1:10" ht="13.2" x14ac:dyDescent="0.25">
      <c r="A203" s="10">
        <v>3307</v>
      </c>
      <c r="B203" s="10">
        <v>1449</v>
      </c>
      <c r="C203" s="10" t="s">
        <v>25</v>
      </c>
      <c r="D203" s="10">
        <v>44</v>
      </c>
      <c r="E203" s="10">
        <v>361</v>
      </c>
      <c r="F203" s="9">
        <f t="shared" si="3"/>
        <v>15884</v>
      </c>
      <c r="G203" s="9" t="str">
        <f>_xlfn.XLOOKUP(B203,Nursery_Inventory!B:B,Nursery_Inventory!E:E)</f>
        <v>Delhi</v>
      </c>
      <c r="H203" s="9" t="str">
        <f>_xlfn.XLOOKUP(B203,Plant_Master!A:A,Plant_Master!B:B)</f>
        <v>Rose</v>
      </c>
      <c r="I203" s="9" t="str">
        <f>_xlfn.XLOOKUP(B203,Plant_Master!A:A,Plant_Master!C:C)</f>
        <v>Flower</v>
      </c>
      <c r="J203" s="9">
        <f>_xlfn.XLOOKUP(B203,Nursery_Inventory!B:B,Nursery_Inventory!C:C)</f>
        <v>373</v>
      </c>
    </row>
    <row r="204" spans="1:10" ht="13.2" x14ac:dyDescent="0.25">
      <c r="A204" s="10">
        <v>3302</v>
      </c>
      <c r="B204" s="10">
        <v>1191</v>
      </c>
      <c r="C204" s="10" t="s">
        <v>12</v>
      </c>
      <c r="D204" s="10">
        <v>36</v>
      </c>
      <c r="E204" s="10">
        <v>182</v>
      </c>
      <c r="F204" s="9">
        <f t="shared" si="3"/>
        <v>6552</v>
      </c>
      <c r="G204" s="9" t="str">
        <f>_xlfn.XLOOKUP(B204,Nursery_Inventory!B:B,Nursery_Inventory!E:E)</f>
        <v>Bangalore</v>
      </c>
      <c r="H204" s="9" t="str">
        <f>_xlfn.XLOOKUP(B204,Plant_Master!A:A,Plant_Master!B:B)</f>
        <v>Orchid</v>
      </c>
      <c r="I204" s="9" t="str">
        <f>_xlfn.XLOOKUP(B204,Plant_Master!A:A,Plant_Master!C:C)</f>
        <v>Medicinal</v>
      </c>
      <c r="J204" s="9">
        <f>_xlfn.XLOOKUP(B204,Nursery_Inventory!B:B,Nursery_Inventory!C:C)</f>
        <v>427</v>
      </c>
    </row>
    <row r="205" spans="1:10" ht="13.2" x14ac:dyDescent="0.25">
      <c r="A205" s="10">
        <v>3037</v>
      </c>
      <c r="B205" s="10">
        <v>1300</v>
      </c>
      <c r="C205" s="10" t="s">
        <v>7</v>
      </c>
      <c r="D205" s="10">
        <v>23</v>
      </c>
      <c r="E205" s="10">
        <v>274</v>
      </c>
      <c r="F205" s="9">
        <f t="shared" si="3"/>
        <v>6302</v>
      </c>
      <c r="G205" s="9" t="str">
        <f>_xlfn.XLOOKUP(B205,Nursery_Inventory!B:B,Nursery_Inventory!E:E)</f>
        <v>Bangalore</v>
      </c>
      <c r="H205" s="9" t="str">
        <f>_xlfn.XLOOKUP(B205,Plant_Master!A:A,Plant_Master!B:B)</f>
        <v>Bamboo</v>
      </c>
      <c r="I205" s="9" t="str">
        <f>_xlfn.XLOOKUP(B205,Plant_Master!A:A,Plant_Master!C:C)</f>
        <v>Medicinal</v>
      </c>
      <c r="J205" s="9">
        <f>_xlfn.XLOOKUP(B205,Nursery_Inventory!B:B,Nursery_Inventory!C:C)</f>
        <v>455</v>
      </c>
    </row>
    <row r="206" spans="1:10" ht="13.2" x14ac:dyDescent="0.25">
      <c r="A206" s="10">
        <v>3293</v>
      </c>
      <c r="B206" s="10">
        <v>1129</v>
      </c>
      <c r="C206" s="10" t="s">
        <v>14</v>
      </c>
      <c r="D206" s="10">
        <v>44</v>
      </c>
      <c r="E206" s="10">
        <v>148</v>
      </c>
      <c r="F206" s="9">
        <f t="shared" si="3"/>
        <v>6512</v>
      </c>
      <c r="G206" s="13" t="s">
        <v>79</v>
      </c>
      <c r="H206" s="9" t="str">
        <f>_xlfn.XLOOKUP(B206,Plant_Master!A:A,Plant_Master!B:B)</f>
        <v>Orchid</v>
      </c>
      <c r="I206" s="9" t="str">
        <f>_xlfn.XLOOKUP(B206,Plant_Master!A:A,Plant_Master!C:C)</f>
        <v>Succulent</v>
      </c>
      <c r="J206" s="13" t="s">
        <v>73</v>
      </c>
    </row>
    <row r="207" spans="1:10" ht="13.2" x14ac:dyDescent="0.25">
      <c r="A207" s="10">
        <v>3211</v>
      </c>
      <c r="B207" s="10">
        <v>1107</v>
      </c>
      <c r="C207" s="10" t="s">
        <v>25</v>
      </c>
      <c r="D207" s="10">
        <v>42</v>
      </c>
      <c r="E207" s="10">
        <v>363</v>
      </c>
      <c r="F207" s="9">
        <f t="shared" si="3"/>
        <v>15246</v>
      </c>
      <c r="G207" s="9" t="str">
        <f>_xlfn.XLOOKUP(B207,Nursery_Inventory!B:B,Nursery_Inventory!E:E)</f>
        <v>Pune</v>
      </c>
      <c r="H207" s="9" t="str">
        <f>_xlfn.XLOOKUP(B207,Plant_Master!A:A,Plant_Master!B:B)</f>
        <v>Lily</v>
      </c>
      <c r="I207" s="9" t="str">
        <f>_xlfn.XLOOKUP(B207,Plant_Master!A:A,Plant_Master!C:C)</f>
        <v>Indoor</v>
      </c>
      <c r="J207" s="9">
        <f>_xlfn.XLOOKUP(B207,Nursery_Inventory!B:B,Nursery_Inventory!C:C)</f>
        <v>284</v>
      </c>
    </row>
    <row r="208" spans="1:10" ht="13.2" x14ac:dyDescent="0.25">
      <c r="A208" s="10">
        <v>3194</v>
      </c>
      <c r="B208" s="10">
        <v>1493</v>
      </c>
      <c r="C208" s="10" t="s">
        <v>14</v>
      </c>
      <c r="D208" s="10">
        <v>19</v>
      </c>
      <c r="E208" s="10">
        <v>337</v>
      </c>
      <c r="F208" s="9">
        <f t="shared" si="3"/>
        <v>6403</v>
      </c>
      <c r="G208" s="13" t="s">
        <v>79</v>
      </c>
      <c r="H208" s="9" t="str">
        <f>_xlfn.XLOOKUP(B208,Plant_Master!A:A,Plant_Master!B:B)</f>
        <v>Rose</v>
      </c>
      <c r="I208" s="9" t="str">
        <f>_xlfn.XLOOKUP(B208,Plant_Master!A:A,Plant_Master!C:C)</f>
        <v>Indoor</v>
      </c>
      <c r="J208" s="13" t="s">
        <v>73</v>
      </c>
    </row>
    <row r="209" spans="1:10" ht="13.2" x14ac:dyDescent="0.25">
      <c r="A209" s="10">
        <v>3115</v>
      </c>
      <c r="B209" s="10">
        <v>1040</v>
      </c>
      <c r="C209" s="10" t="s">
        <v>9</v>
      </c>
      <c r="D209" s="10">
        <v>16</v>
      </c>
      <c r="E209" s="10">
        <v>392</v>
      </c>
      <c r="F209" s="9">
        <f t="shared" si="3"/>
        <v>6272</v>
      </c>
      <c r="G209" s="9" t="str">
        <f>_xlfn.XLOOKUP(B209,Nursery_Inventory!B:B,Nursery_Inventory!E:E)</f>
        <v>Bangalore</v>
      </c>
      <c r="H209" s="9" t="str">
        <f>_xlfn.XLOOKUP(B209,Plant_Master!A:A,Plant_Master!B:B)</f>
        <v>Cactus</v>
      </c>
      <c r="I209" s="9" t="str">
        <f>_xlfn.XLOOKUP(B209,Plant_Master!A:A,Plant_Master!C:C)</f>
        <v>Medicinal</v>
      </c>
      <c r="J209" s="9">
        <f>_xlfn.XLOOKUP(B209,Nursery_Inventory!B:B,Nursery_Inventory!C:C)</f>
        <v>183</v>
      </c>
    </row>
    <row r="210" spans="1:10" ht="13.2" x14ac:dyDescent="0.25">
      <c r="A210" s="10">
        <v>3082</v>
      </c>
      <c r="B210" s="10">
        <v>1449</v>
      </c>
      <c r="C210" s="10" t="s">
        <v>9</v>
      </c>
      <c r="D210" s="10">
        <v>21</v>
      </c>
      <c r="E210" s="10">
        <v>381</v>
      </c>
      <c r="F210" s="9">
        <f t="shared" si="3"/>
        <v>8001</v>
      </c>
      <c r="G210" s="9" t="str">
        <f>_xlfn.XLOOKUP(B210,Nursery_Inventory!B:B,Nursery_Inventory!E:E)</f>
        <v>Delhi</v>
      </c>
      <c r="H210" s="9" t="str">
        <f>_xlfn.XLOOKUP(B210,Plant_Master!A:A,Plant_Master!B:B)</f>
        <v>Rose</v>
      </c>
      <c r="I210" s="9" t="str">
        <f>_xlfn.XLOOKUP(B210,Plant_Master!A:A,Plant_Master!C:C)</f>
        <v>Flower</v>
      </c>
      <c r="J210" s="9">
        <f>_xlfn.XLOOKUP(B210,Nursery_Inventory!B:B,Nursery_Inventory!C:C)</f>
        <v>373</v>
      </c>
    </row>
    <row r="211" spans="1:10" ht="13.2" x14ac:dyDescent="0.25">
      <c r="A211" s="10">
        <v>3433</v>
      </c>
      <c r="B211" s="10">
        <v>1212</v>
      </c>
      <c r="C211" s="10" t="s">
        <v>25</v>
      </c>
      <c r="D211" s="10">
        <v>42</v>
      </c>
      <c r="E211" s="10">
        <v>129</v>
      </c>
      <c r="F211" s="9">
        <f t="shared" si="3"/>
        <v>5418</v>
      </c>
      <c r="G211" s="9" t="str">
        <f>_xlfn.XLOOKUP(B211,Nursery_Inventory!B:B,Nursery_Inventory!E:E)</f>
        <v>Bangalore</v>
      </c>
      <c r="H211" s="9" t="str">
        <f>_xlfn.XLOOKUP(B211,Plant_Master!A:A,Plant_Master!B:B)</f>
        <v>Jasmine</v>
      </c>
      <c r="I211" s="9" t="str">
        <f>_xlfn.XLOOKUP(B211,Plant_Master!A:A,Plant_Master!C:C)</f>
        <v>Outdoor</v>
      </c>
      <c r="J211" s="9">
        <f>_xlfn.XLOOKUP(B211,Nursery_Inventory!B:B,Nursery_Inventory!C:C)</f>
        <v>34</v>
      </c>
    </row>
    <row r="212" spans="1:10" ht="13.2" x14ac:dyDescent="0.25">
      <c r="A212" s="10">
        <v>3269</v>
      </c>
      <c r="B212" s="10">
        <v>1434</v>
      </c>
      <c r="C212" s="10" t="s">
        <v>9</v>
      </c>
      <c r="D212" s="10">
        <v>18</v>
      </c>
      <c r="E212" s="10">
        <v>347</v>
      </c>
      <c r="F212" s="9">
        <f t="shared" si="3"/>
        <v>6246</v>
      </c>
      <c r="G212" s="9" t="str">
        <f>_xlfn.XLOOKUP(B212,Nursery_Inventory!B:B,Nursery_Inventory!E:E)</f>
        <v>Chennai</v>
      </c>
      <c r="H212" s="9" t="str">
        <f>_xlfn.XLOOKUP(B212,Plant_Master!A:A,Plant_Master!B:B)</f>
        <v>Palm</v>
      </c>
      <c r="I212" s="9" t="str">
        <f>_xlfn.XLOOKUP(B212,Plant_Master!A:A,Plant_Master!C:C)</f>
        <v>Medicinal</v>
      </c>
      <c r="J212" s="9">
        <f>_xlfn.XLOOKUP(B212,Nursery_Inventory!B:B,Nursery_Inventory!C:C)</f>
        <v>93</v>
      </c>
    </row>
    <row r="213" spans="1:10" ht="13.2" x14ac:dyDescent="0.25">
      <c r="A213" s="10">
        <v>3041</v>
      </c>
      <c r="B213" s="10">
        <v>1492</v>
      </c>
      <c r="C213" s="10" t="s">
        <v>12</v>
      </c>
      <c r="D213" s="10">
        <v>33</v>
      </c>
      <c r="E213" s="10">
        <v>189</v>
      </c>
      <c r="F213" s="9">
        <f t="shared" si="3"/>
        <v>6237</v>
      </c>
      <c r="G213" s="9" t="str">
        <f>_xlfn.XLOOKUP(B213,Nursery_Inventory!B:B,Nursery_Inventory!E:E)</f>
        <v>Chennai</v>
      </c>
      <c r="H213" s="9" t="str">
        <f>_xlfn.XLOOKUP(B213,Plant_Master!A:A,Plant_Master!B:B)</f>
        <v>Rose</v>
      </c>
      <c r="I213" s="9" t="str">
        <f>_xlfn.XLOOKUP(B213,Plant_Master!A:A,Plant_Master!C:C)</f>
        <v>Indoor</v>
      </c>
      <c r="J213" s="9">
        <f>_xlfn.XLOOKUP(B213,Nursery_Inventory!B:B,Nursery_Inventory!C:C)</f>
        <v>341</v>
      </c>
    </row>
    <row r="214" spans="1:10" ht="13.2" x14ac:dyDescent="0.25">
      <c r="A214" s="10">
        <v>3314</v>
      </c>
      <c r="B214" s="10">
        <v>1391</v>
      </c>
      <c r="C214" s="10" t="s">
        <v>9</v>
      </c>
      <c r="D214" s="10">
        <v>44</v>
      </c>
      <c r="E214" s="10">
        <v>174</v>
      </c>
      <c r="F214" s="9">
        <f t="shared" si="3"/>
        <v>7656</v>
      </c>
      <c r="G214" s="9" t="str">
        <f>_xlfn.XLOOKUP(B214,Nursery_Inventory!B:B,Nursery_Inventory!E:E)</f>
        <v>Delhi</v>
      </c>
      <c r="H214" s="9" t="str">
        <f>_xlfn.XLOOKUP(B214,Plant_Master!A:A,Plant_Master!B:B)</f>
        <v>Tulip</v>
      </c>
      <c r="I214" s="9" t="str">
        <f>_xlfn.XLOOKUP(B214,Plant_Master!A:A,Plant_Master!C:C)</f>
        <v>Outdoor</v>
      </c>
      <c r="J214" s="9">
        <f>_xlfn.XLOOKUP(B214,Nursery_Inventory!B:B,Nursery_Inventory!C:C)</f>
        <v>370</v>
      </c>
    </row>
    <row r="215" spans="1:10" ht="13.2" x14ac:dyDescent="0.25">
      <c r="A215" s="10">
        <v>3197</v>
      </c>
      <c r="B215" s="10">
        <v>1261</v>
      </c>
      <c r="C215" s="10" t="s">
        <v>7</v>
      </c>
      <c r="D215" s="10">
        <v>28</v>
      </c>
      <c r="E215" s="10">
        <v>219</v>
      </c>
      <c r="F215" s="9">
        <f t="shared" si="3"/>
        <v>6132</v>
      </c>
      <c r="G215" s="13" t="s">
        <v>79</v>
      </c>
      <c r="H215" s="9" t="str">
        <f>_xlfn.XLOOKUP(B215,Plant_Master!A:A,Plant_Master!B:B)</f>
        <v>Aloe</v>
      </c>
      <c r="I215" s="9" t="str">
        <f>_xlfn.XLOOKUP(B215,Plant_Master!A:A,Plant_Master!C:C)</f>
        <v>Outdoor</v>
      </c>
      <c r="J215" s="13" t="s">
        <v>73</v>
      </c>
    </row>
    <row r="216" spans="1:10" ht="13.2" x14ac:dyDescent="0.25">
      <c r="A216" s="10">
        <v>3184</v>
      </c>
      <c r="B216" s="10">
        <v>1361</v>
      </c>
      <c r="C216" s="10" t="s">
        <v>14</v>
      </c>
      <c r="D216" s="10">
        <v>42</v>
      </c>
      <c r="E216" s="10">
        <v>145</v>
      </c>
      <c r="F216" s="9">
        <f t="shared" si="3"/>
        <v>6090</v>
      </c>
      <c r="G216" s="13" t="s">
        <v>79</v>
      </c>
      <c r="H216" s="9" t="str">
        <f>_xlfn.XLOOKUP(B216,Plant_Master!A:A,Plant_Master!B:B)</f>
        <v>Jasmine</v>
      </c>
      <c r="I216" s="9" t="str">
        <f>_xlfn.XLOOKUP(B216,Plant_Master!A:A,Plant_Master!C:C)</f>
        <v>Medicinal</v>
      </c>
      <c r="J216" s="13" t="s">
        <v>73</v>
      </c>
    </row>
    <row r="217" spans="1:10" ht="13.2" x14ac:dyDescent="0.25">
      <c r="A217" s="10">
        <v>3044</v>
      </c>
      <c r="B217" s="10">
        <v>1355</v>
      </c>
      <c r="C217" s="10" t="s">
        <v>7</v>
      </c>
      <c r="D217" s="10">
        <v>23</v>
      </c>
      <c r="E217" s="10">
        <v>264</v>
      </c>
      <c r="F217" s="9">
        <f t="shared" si="3"/>
        <v>6072</v>
      </c>
      <c r="G217" s="13" t="s">
        <v>79</v>
      </c>
      <c r="H217" s="9" t="str">
        <f>_xlfn.XLOOKUP(B217,Plant_Master!A:A,Plant_Master!B:B)</f>
        <v>Bamboo</v>
      </c>
      <c r="I217" s="9" t="str">
        <f>_xlfn.XLOOKUP(B217,Plant_Master!A:A,Plant_Master!C:C)</f>
        <v>Medicinal</v>
      </c>
      <c r="J217" s="13" t="s">
        <v>73</v>
      </c>
    </row>
    <row r="218" spans="1:10" ht="13.2" x14ac:dyDescent="0.25">
      <c r="A218" s="10">
        <v>3233</v>
      </c>
      <c r="B218" s="10">
        <v>1462</v>
      </c>
      <c r="C218" s="10" t="s">
        <v>25</v>
      </c>
      <c r="D218" s="10">
        <v>14</v>
      </c>
      <c r="E218" s="10">
        <v>433</v>
      </c>
      <c r="F218" s="9">
        <f t="shared" si="3"/>
        <v>6062</v>
      </c>
      <c r="G218" s="13" t="s">
        <v>79</v>
      </c>
      <c r="H218" s="9" t="str">
        <f>_xlfn.XLOOKUP(B218,Plant_Master!A:A,Plant_Master!B:B)</f>
        <v>Fern</v>
      </c>
      <c r="I218" s="9" t="str">
        <f>_xlfn.XLOOKUP(B218,Plant_Master!A:A,Plant_Master!C:C)</f>
        <v>Succulent</v>
      </c>
      <c r="J218" s="13" t="s">
        <v>73</v>
      </c>
    </row>
    <row r="219" spans="1:10" ht="13.2" x14ac:dyDescent="0.25">
      <c r="A219" s="10">
        <v>3162</v>
      </c>
      <c r="B219" s="10">
        <v>1160</v>
      </c>
      <c r="C219" s="10" t="s">
        <v>7</v>
      </c>
      <c r="D219" s="10">
        <v>18</v>
      </c>
      <c r="E219" s="10">
        <v>336</v>
      </c>
      <c r="F219" s="9">
        <f t="shared" si="3"/>
        <v>6048</v>
      </c>
      <c r="G219" s="9" t="str">
        <f>_xlfn.XLOOKUP(B219,Nursery_Inventory!B:B,Nursery_Inventory!E:E)</f>
        <v>Mumbai</v>
      </c>
      <c r="H219" s="9" t="str">
        <f>_xlfn.XLOOKUP(B219,Plant_Master!A:A,Plant_Master!B:B)</f>
        <v>Aloe</v>
      </c>
      <c r="I219" s="9" t="str">
        <f>_xlfn.XLOOKUP(B219,Plant_Master!A:A,Plant_Master!C:C)</f>
        <v>Succulent</v>
      </c>
      <c r="J219" s="9">
        <f>_xlfn.XLOOKUP(B219,Nursery_Inventory!B:B,Nursery_Inventory!C:C)</f>
        <v>234</v>
      </c>
    </row>
    <row r="220" spans="1:10" ht="13.2" x14ac:dyDescent="0.25">
      <c r="A220" s="10">
        <v>3410</v>
      </c>
      <c r="B220" s="10">
        <v>1313</v>
      </c>
      <c r="C220" s="10" t="s">
        <v>9</v>
      </c>
      <c r="D220" s="10">
        <v>28</v>
      </c>
      <c r="E220" s="10">
        <v>379</v>
      </c>
      <c r="F220" s="9">
        <f t="shared" si="3"/>
        <v>10612</v>
      </c>
      <c r="G220" s="13" t="s">
        <v>79</v>
      </c>
      <c r="H220" s="9" t="str">
        <f>_xlfn.XLOOKUP(B220,Plant_Master!A:A,Plant_Master!B:B)</f>
        <v>Aloe</v>
      </c>
      <c r="I220" s="9" t="str">
        <f>_xlfn.XLOOKUP(B220,Plant_Master!A:A,Plant_Master!C:C)</f>
        <v>Outdoor</v>
      </c>
      <c r="J220" s="13" t="s">
        <v>73</v>
      </c>
    </row>
    <row r="221" spans="1:10" ht="13.2" x14ac:dyDescent="0.25">
      <c r="A221" s="10">
        <v>3345</v>
      </c>
      <c r="B221" s="10">
        <v>1041</v>
      </c>
      <c r="C221" s="10" t="s">
        <v>9</v>
      </c>
      <c r="D221" s="10">
        <v>18</v>
      </c>
      <c r="E221" s="10">
        <v>334</v>
      </c>
      <c r="F221" s="9">
        <f t="shared" si="3"/>
        <v>6012</v>
      </c>
      <c r="G221" s="9" t="str">
        <f>_xlfn.XLOOKUP(B221,Nursery_Inventory!B:B,Nursery_Inventory!E:E)</f>
        <v>Mumbai</v>
      </c>
      <c r="H221" s="9" t="str">
        <f>_xlfn.XLOOKUP(B221,Plant_Master!A:A,Plant_Master!B:B)</f>
        <v>Fern</v>
      </c>
      <c r="I221" s="9" t="str">
        <f>_xlfn.XLOOKUP(B221,Plant_Master!A:A,Plant_Master!C:C)</f>
        <v>Medicinal</v>
      </c>
      <c r="J221" s="9">
        <f>_xlfn.XLOOKUP(B221,Nursery_Inventory!B:B,Nursery_Inventory!C:C)</f>
        <v>290</v>
      </c>
    </row>
    <row r="222" spans="1:10" ht="13.2" x14ac:dyDescent="0.25">
      <c r="A222" s="10">
        <v>3323</v>
      </c>
      <c r="B222" s="10">
        <v>1032</v>
      </c>
      <c r="C222" s="10" t="s">
        <v>9</v>
      </c>
      <c r="D222" s="10">
        <v>28</v>
      </c>
      <c r="E222" s="10">
        <v>151</v>
      </c>
      <c r="F222" s="9">
        <f t="shared" si="3"/>
        <v>4228</v>
      </c>
      <c r="G222" s="13" t="s">
        <v>79</v>
      </c>
      <c r="H222" s="9" t="str">
        <f>_xlfn.XLOOKUP(B222,Plant_Master!A:A,Plant_Master!B:B)</f>
        <v>Bamboo</v>
      </c>
      <c r="I222" s="9" t="str">
        <f>_xlfn.XLOOKUP(B222,Plant_Master!A:A,Plant_Master!C:C)</f>
        <v>Outdoor</v>
      </c>
      <c r="J222" s="13" t="s">
        <v>73</v>
      </c>
    </row>
    <row r="223" spans="1:10" ht="13.2" x14ac:dyDescent="0.25">
      <c r="A223" s="10">
        <v>3357</v>
      </c>
      <c r="B223" s="10">
        <v>1391</v>
      </c>
      <c r="C223" s="10" t="s">
        <v>12</v>
      </c>
      <c r="D223" s="10">
        <v>12</v>
      </c>
      <c r="E223" s="10">
        <v>341</v>
      </c>
      <c r="F223" s="9">
        <f t="shared" si="3"/>
        <v>4092</v>
      </c>
      <c r="G223" s="9" t="str">
        <f>_xlfn.XLOOKUP(B223,Nursery_Inventory!B:B,Nursery_Inventory!E:E)</f>
        <v>Delhi</v>
      </c>
      <c r="H223" s="9" t="str">
        <f>_xlfn.XLOOKUP(B223,Plant_Master!A:A,Plant_Master!B:B)</f>
        <v>Tulip</v>
      </c>
      <c r="I223" s="9" t="str">
        <f>_xlfn.XLOOKUP(B223,Plant_Master!A:A,Plant_Master!C:C)</f>
        <v>Outdoor</v>
      </c>
      <c r="J223" s="9">
        <f>_xlfn.XLOOKUP(B223,Nursery_Inventory!B:B,Nursery_Inventory!C:C)</f>
        <v>370</v>
      </c>
    </row>
    <row r="224" spans="1:10" ht="13.2" x14ac:dyDescent="0.25">
      <c r="A224" s="10">
        <v>3146</v>
      </c>
      <c r="B224" s="10">
        <v>1349</v>
      </c>
      <c r="C224" s="10" t="s">
        <v>12</v>
      </c>
      <c r="D224" s="10">
        <v>31</v>
      </c>
      <c r="E224" s="10">
        <v>188</v>
      </c>
      <c r="F224" s="9">
        <f t="shared" si="3"/>
        <v>5828</v>
      </c>
      <c r="G224" s="9" t="str">
        <f>_xlfn.XLOOKUP(B224,Nursery_Inventory!B:B,Nursery_Inventory!E:E)</f>
        <v>Chennai</v>
      </c>
      <c r="H224" s="9" t="str">
        <f>_xlfn.XLOOKUP(B224,Plant_Master!A:A,Plant_Master!B:B)</f>
        <v>Jasmine</v>
      </c>
      <c r="I224" s="9" t="str">
        <f>_xlfn.XLOOKUP(B224,Plant_Master!A:A,Plant_Master!C:C)</f>
        <v>Succulent</v>
      </c>
      <c r="J224" s="9">
        <f>_xlfn.XLOOKUP(B224,Nursery_Inventory!B:B,Nursery_Inventory!C:C)</f>
        <v>223</v>
      </c>
    </row>
    <row r="225" spans="1:10" ht="13.2" x14ac:dyDescent="0.25">
      <c r="A225" s="10">
        <v>3245</v>
      </c>
      <c r="B225" s="10">
        <v>1454</v>
      </c>
      <c r="C225" s="10" t="s">
        <v>7</v>
      </c>
      <c r="D225" s="10">
        <v>15</v>
      </c>
      <c r="E225" s="10">
        <v>237</v>
      </c>
      <c r="F225" s="9">
        <f t="shared" si="3"/>
        <v>3555</v>
      </c>
      <c r="G225" s="9" t="str">
        <f>_xlfn.XLOOKUP(B225,Nursery_Inventory!B:B,Nursery_Inventory!E:E)</f>
        <v>Pune</v>
      </c>
      <c r="H225" s="9" t="str">
        <f>_xlfn.XLOOKUP(B225,Plant_Master!A:A,Plant_Master!B:B)</f>
        <v>Fern</v>
      </c>
      <c r="I225" s="9" t="str">
        <f>_xlfn.XLOOKUP(B225,Plant_Master!A:A,Plant_Master!C:C)</f>
        <v>Succulent</v>
      </c>
      <c r="J225" s="9">
        <f>_xlfn.XLOOKUP(B225,Nursery_Inventory!B:B,Nursery_Inventory!C:C)</f>
        <v>262</v>
      </c>
    </row>
    <row r="226" spans="1:10" ht="13.2" x14ac:dyDescent="0.25">
      <c r="A226" s="10">
        <v>3340</v>
      </c>
      <c r="B226" s="10">
        <v>1044</v>
      </c>
      <c r="C226" s="10" t="s">
        <v>7</v>
      </c>
      <c r="D226" s="10">
        <v>27</v>
      </c>
      <c r="E226" s="10">
        <v>492</v>
      </c>
      <c r="F226" s="9">
        <f t="shared" si="3"/>
        <v>13284</v>
      </c>
      <c r="G226" s="13" t="s">
        <v>79</v>
      </c>
      <c r="H226" s="9" t="str">
        <f>_xlfn.XLOOKUP(B226,Plant_Master!A:A,Plant_Master!B:B)</f>
        <v>Lily</v>
      </c>
      <c r="I226" s="9" t="str">
        <f>_xlfn.XLOOKUP(B226,Plant_Master!A:A,Plant_Master!C:C)</f>
        <v>Outdoor</v>
      </c>
      <c r="J226" s="13" t="s">
        <v>73</v>
      </c>
    </row>
    <row r="227" spans="1:10" ht="13.2" x14ac:dyDescent="0.25">
      <c r="A227" s="10">
        <v>3096</v>
      </c>
      <c r="B227" s="10">
        <v>1434</v>
      </c>
      <c r="C227" s="10" t="s">
        <v>9</v>
      </c>
      <c r="D227" s="10">
        <v>38</v>
      </c>
      <c r="E227" s="10">
        <v>151</v>
      </c>
      <c r="F227" s="9">
        <f t="shared" si="3"/>
        <v>5738</v>
      </c>
      <c r="G227" s="9" t="str">
        <f>_xlfn.XLOOKUP(B227,Nursery_Inventory!B:B,Nursery_Inventory!E:E)</f>
        <v>Chennai</v>
      </c>
      <c r="H227" s="9" t="str">
        <f>_xlfn.XLOOKUP(B227,Plant_Master!A:A,Plant_Master!B:B)</f>
        <v>Palm</v>
      </c>
      <c r="I227" s="9" t="str">
        <f>_xlfn.XLOOKUP(B227,Plant_Master!A:A,Plant_Master!C:C)</f>
        <v>Medicinal</v>
      </c>
      <c r="J227" s="9">
        <f>_xlfn.XLOOKUP(B227,Nursery_Inventory!B:B,Nursery_Inventory!C:C)</f>
        <v>93</v>
      </c>
    </row>
    <row r="228" spans="1:10" ht="13.2" x14ac:dyDescent="0.25">
      <c r="A228" s="10">
        <v>3415</v>
      </c>
      <c r="B228" s="10">
        <v>1354</v>
      </c>
      <c r="C228" s="10" t="s">
        <v>7</v>
      </c>
      <c r="D228" s="10">
        <v>49</v>
      </c>
      <c r="E228" s="10">
        <v>299</v>
      </c>
      <c r="F228" s="9">
        <f t="shared" si="3"/>
        <v>14651</v>
      </c>
      <c r="G228" s="9" t="str">
        <f>_xlfn.XLOOKUP(B228,Nursery_Inventory!B:B,Nursery_Inventory!E:E)</f>
        <v>Chennai</v>
      </c>
      <c r="H228" s="9" t="str">
        <f>_xlfn.XLOOKUP(B228,Plant_Master!A:A,Plant_Master!B:B)</f>
        <v>Jasmine</v>
      </c>
      <c r="I228" s="9" t="str">
        <f>_xlfn.XLOOKUP(B228,Plant_Master!A:A,Plant_Master!C:C)</f>
        <v>Flower</v>
      </c>
      <c r="J228" s="9">
        <f>_xlfn.XLOOKUP(B228,Nursery_Inventory!B:B,Nursery_Inventory!C:C)</f>
        <v>369</v>
      </c>
    </row>
    <row r="229" spans="1:10" ht="13.2" x14ac:dyDescent="0.25">
      <c r="A229" s="10">
        <v>3023</v>
      </c>
      <c r="B229" s="10">
        <v>1354</v>
      </c>
      <c r="C229" s="10" t="s">
        <v>7</v>
      </c>
      <c r="D229" s="10">
        <v>49</v>
      </c>
      <c r="E229" s="10">
        <v>135</v>
      </c>
      <c r="F229" s="9">
        <f t="shared" si="3"/>
        <v>6615</v>
      </c>
      <c r="G229" s="9" t="str">
        <f>_xlfn.XLOOKUP(B229,Nursery_Inventory!B:B,Nursery_Inventory!E:E)</f>
        <v>Chennai</v>
      </c>
      <c r="H229" s="9" t="str">
        <f>_xlfn.XLOOKUP(B229,Plant_Master!A:A,Plant_Master!B:B)</f>
        <v>Jasmine</v>
      </c>
      <c r="I229" s="9" t="str">
        <f>_xlfn.XLOOKUP(B229,Plant_Master!A:A,Plant_Master!C:C)</f>
        <v>Flower</v>
      </c>
      <c r="J229" s="9">
        <f>_xlfn.XLOOKUP(B229,Nursery_Inventory!B:B,Nursery_Inventory!C:C)</f>
        <v>369</v>
      </c>
    </row>
    <row r="230" spans="1:10" ht="13.2" x14ac:dyDescent="0.25">
      <c r="A230" s="10">
        <v>3157</v>
      </c>
      <c r="B230" s="10">
        <v>1290</v>
      </c>
      <c r="C230" s="10" t="s">
        <v>7</v>
      </c>
      <c r="D230" s="10">
        <v>45</v>
      </c>
      <c r="E230" s="10">
        <v>458</v>
      </c>
      <c r="F230" s="9">
        <f t="shared" si="3"/>
        <v>20610</v>
      </c>
      <c r="G230" s="9" t="str">
        <f>_xlfn.XLOOKUP(B230,Nursery_Inventory!B:B,Nursery_Inventory!E:E)</f>
        <v>Delhi</v>
      </c>
      <c r="H230" s="9" t="str">
        <f>_xlfn.XLOOKUP(B230,Plant_Master!A:A,Plant_Master!B:B)</f>
        <v>Bamboo</v>
      </c>
      <c r="I230" s="9" t="str">
        <f>_xlfn.XLOOKUP(B230,Plant_Master!A:A,Plant_Master!C:C)</f>
        <v>Indoor</v>
      </c>
      <c r="J230" s="9">
        <f>_xlfn.XLOOKUP(B230,Nursery_Inventory!B:B,Nursery_Inventory!C:C)</f>
        <v>356</v>
      </c>
    </row>
    <row r="231" spans="1:10" ht="13.2" x14ac:dyDescent="0.25">
      <c r="A231" s="10">
        <v>3046</v>
      </c>
      <c r="B231" s="10">
        <v>1491</v>
      </c>
      <c r="C231" s="10" t="s">
        <v>25</v>
      </c>
      <c r="D231" s="10">
        <v>21</v>
      </c>
      <c r="E231" s="10">
        <v>265</v>
      </c>
      <c r="F231" s="9">
        <f t="shared" si="3"/>
        <v>5565</v>
      </c>
      <c r="G231" s="9" t="str">
        <f>_xlfn.XLOOKUP(B231,Nursery_Inventory!B:B,Nursery_Inventory!E:E)</f>
        <v>Mumbai</v>
      </c>
      <c r="H231" s="9" t="str">
        <f>_xlfn.XLOOKUP(B231,Plant_Master!A:A,Plant_Master!B:B)</f>
        <v>Jasmine</v>
      </c>
      <c r="I231" s="9" t="str">
        <f>_xlfn.XLOOKUP(B231,Plant_Master!A:A,Plant_Master!C:C)</f>
        <v>Medicinal</v>
      </c>
      <c r="J231" s="9">
        <f>_xlfn.XLOOKUP(B231,Nursery_Inventory!B:B,Nursery_Inventory!C:C)</f>
        <v>279</v>
      </c>
    </row>
    <row r="232" spans="1:10" ht="13.2" x14ac:dyDescent="0.25">
      <c r="A232" s="10">
        <v>3300</v>
      </c>
      <c r="B232" s="10">
        <v>1354</v>
      </c>
      <c r="C232" s="10" t="s">
        <v>9</v>
      </c>
      <c r="D232" s="10">
        <v>9</v>
      </c>
      <c r="E232" s="10">
        <v>77</v>
      </c>
      <c r="F232" s="9">
        <f t="shared" si="3"/>
        <v>693</v>
      </c>
      <c r="G232" s="9" t="str">
        <f>_xlfn.XLOOKUP(B232,Nursery_Inventory!B:B,Nursery_Inventory!E:E)</f>
        <v>Chennai</v>
      </c>
      <c r="H232" s="9" t="str">
        <f>_xlfn.XLOOKUP(B232,Plant_Master!A:A,Plant_Master!B:B)</f>
        <v>Jasmine</v>
      </c>
      <c r="I232" s="9" t="str">
        <f>_xlfn.XLOOKUP(B232,Plant_Master!A:A,Plant_Master!C:C)</f>
        <v>Flower</v>
      </c>
      <c r="J232" s="9">
        <f>_xlfn.XLOOKUP(B232,Nursery_Inventory!B:B,Nursery_Inventory!C:C)</f>
        <v>369</v>
      </c>
    </row>
    <row r="233" spans="1:10" ht="13.2" x14ac:dyDescent="0.25">
      <c r="A233" s="10">
        <v>3068</v>
      </c>
      <c r="B233" s="10">
        <v>1454</v>
      </c>
      <c r="C233" s="10" t="s">
        <v>7</v>
      </c>
      <c r="D233" s="10">
        <v>11</v>
      </c>
      <c r="E233" s="10">
        <v>124</v>
      </c>
      <c r="F233" s="9">
        <f t="shared" si="3"/>
        <v>1364</v>
      </c>
      <c r="G233" s="9" t="str">
        <f>_xlfn.XLOOKUP(B233,Nursery_Inventory!B:B,Nursery_Inventory!E:E)</f>
        <v>Pune</v>
      </c>
      <c r="H233" s="9" t="str">
        <f>_xlfn.XLOOKUP(B233,Plant_Master!A:A,Plant_Master!B:B)</f>
        <v>Fern</v>
      </c>
      <c r="I233" s="9" t="str">
        <f>_xlfn.XLOOKUP(B233,Plant_Master!A:A,Plant_Master!C:C)</f>
        <v>Succulent</v>
      </c>
      <c r="J233" s="9">
        <f>_xlfn.XLOOKUP(B233,Nursery_Inventory!B:B,Nursery_Inventory!C:C)</f>
        <v>262</v>
      </c>
    </row>
    <row r="234" spans="1:10" ht="13.2" x14ac:dyDescent="0.25">
      <c r="A234" s="10">
        <v>3254</v>
      </c>
      <c r="B234" s="10">
        <v>1314</v>
      </c>
      <c r="C234" s="10" t="s">
        <v>14</v>
      </c>
      <c r="D234" s="10">
        <v>16</v>
      </c>
      <c r="E234" s="10">
        <v>255</v>
      </c>
      <c r="F234" s="9">
        <f t="shared" si="3"/>
        <v>4080</v>
      </c>
      <c r="G234" s="9" t="str">
        <f>_xlfn.XLOOKUP(B234,Nursery_Inventory!B:B,Nursery_Inventory!E:E)</f>
        <v>Delhi</v>
      </c>
      <c r="H234" s="9" t="str">
        <f>_xlfn.XLOOKUP(B234,Plant_Master!A:A,Plant_Master!B:B)</f>
        <v>Fern</v>
      </c>
      <c r="I234" s="9" t="str">
        <f>_xlfn.XLOOKUP(B234,Plant_Master!A:A,Plant_Master!C:C)</f>
        <v>Outdoor</v>
      </c>
      <c r="J234" s="9">
        <f>_xlfn.XLOOKUP(B234,Nursery_Inventory!B:B,Nursery_Inventory!C:C)</f>
        <v>344</v>
      </c>
    </row>
    <row r="235" spans="1:10" ht="13.2" x14ac:dyDescent="0.25">
      <c r="A235" s="10">
        <v>3376</v>
      </c>
      <c r="B235" s="10">
        <v>1245</v>
      </c>
      <c r="C235" s="10" t="s">
        <v>12</v>
      </c>
      <c r="D235" s="10">
        <v>16</v>
      </c>
      <c r="E235" s="10">
        <v>336</v>
      </c>
      <c r="F235" s="9">
        <f t="shared" si="3"/>
        <v>5376</v>
      </c>
      <c r="G235" s="13" t="s">
        <v>79</v>
      </c>
      <c r="H235" s="9" t="str">
        <f>_xlfn.XLOOKUP(B235,Plant_Master!A:A,Plant_Master!B:B)</f>
        <v>Cactus</v>
      </c>
      <c r="I235" s="9" t="str">
        <f>_xlfn.XLOOKUP(B235,Plant_Master!A:A,Plant_Master!C:C)</f>
        <v>Succulent</v>
      </c>
      <c r="J235" s="13" t="s">
        <v>73</v>
      </c>
    </row>
    <row r="236" spans="1:10" ht="13.2" x14ac:dyDescent="0.25">
      <c r="A236" s="10">
        <v>3056</v>
      </c>
      <c r="B236" s="10">
        <v>1365</v>
      </c>
      <c r="C236" s="10" t="s">
        <v>9</v>
      </c>
      <c r="D236" s="10">
        <v>27</v>
      </c>
      <c r="E236" s="10">
        <v>255</v>
      </c>
      <c r="F236" s="9">
        <f t="shared" si="3"/>
        <v>6885</v>
      </c>
      <c r="G236" s="9" t="str">
        <f>_xlfn.XLOOKUP(B236,Nursery_Inventory!B:B,Nursery_Inventory!E:E)</f>
        <v>Chennai</v>
      </c>
      <c r="H236" s="9" t="str">
        <f>_xlfn.XLOOKUP(B236,Plant_Master!A:A,Plant_Master!B:B)</f>
        <v>Rose</v>
      </c>
      <c r="I236" s="9" t="str">
        <f>_xlfn.XLOOKUP(B236,Plant_Master!A:A,Plant_Master!C:C)</f>
        <v>Outdoor</v>
      </c>
      <c r="J236" s="9">
        <f>_xlfn.XLOOKUP(B236,Nursery_Inventory!B:B,Nursery_Inventory!C:C)</f>
        <v>261</v>
      </c>
    </row>
    <row r="237" spans="1:10" ht="13.2" x14ac:dyDescent="0.25">
      <c r="A237" s="10">
        <v>3361</v>
      </c>
      <c r="B237" s="10">
        <v>1084</v>
      </c>
      <c r="C237" s="10" t="s">
        <v>14</v>
      </c>
      <c r="D237" s="10">
        <v>16</v>
      </c>
      <c r="E237" s="10">
        <v>333</v>
      </c>
      <c r="F237" s="9">
        <f t="shared" si="3"/>
        <v>5328</v>
      </c>
      <c r="G237" s="13" t="s">
        <v>79</v>
      </c>
      <c r="H237" s="9" t="str">
        <f>_xlfn.XLOOKUP(B237,Plant_Master!A:A,Plant_Master!B:B)</f>
        <v>Lily</v>
      </c>
      <c r="I237" s="9" t="str">
        <f>_xlfn.XLOOKUP(B237,Plant_Master!A:A,Plant_Master!C:C)</f>
        <v>Medicinal</v>
      </c>
      <c r="J237" s="13" t="s">
        <v>73</v>
      </c>
    </row>
    <row r="238" spans="1:10" ht="13.2" x14ac:dyDescent="0.25">
      <c r="A238" s="10">
        <v>3239</v>
      </c>
      <c r="B238" s="10">
        <v>1309</v>
      </c>
      <c r="C238" s="10" t="s">
        <v>7</v>
      </c>
      <c r="D238" s="10">
        <v>14</v>
      </c>
      <c r="E238" s="10">
        <v>380</v>
      </c>
      <c r="F238" s="9">
        <f t="shared" si="3"/>
        <v>5320</v>
      </c>
      <c r="G238" s="13" t="s">
        <v>79</v>
      </c>
      <c r="H238" s="9" t="str">
        <f>_xlfn.XLOOKUP(B238,Plant_Master!A:A,Plant_Master!B:B)</f>
        <v>Cactus</v>
      </c>
      <c r="I238" s="9" t="str">
        <f>_xlfn.XLOOKUP(B238,Plant_Master!A:A,Plant_Master!C:C)</f>
        <v>Medicinal</v>
      </c>
      <c r="J238" s="13" t="s">
        <v>73</v>
      </c>
    </row>
    <row r="239" spans="1:10" ht="13.2" x14ac:dyDescent="0.25">
      <c r="A239" s="10">
        <v>3365</v>
      </c>
      <c r="B239" s="10">
        <v>1150</v>
      </c>
      <c r="C239" s="10" t="s">
        <v>12</v>
      </c>
      <c r="D239" s="10">
        <v>18</v>
      </c>
      <c r="E239" s="10">
        <v>293</v>
      </c>
      <c r="F239" s="9">
        <f t="shared" si="3"/>
        <v>5274</v>
      </c>
      <c r="G239" s="9" t="str">
        <f>_xlfn.XLOOKUP(B239,Nursery_Inventory!B:B,Nursery_Inventory!E:E)</f>
        <v>Chennai</v>
      </c>
      <c r="H239" s="9" t="str">
        <f>_xlfn.XLOOKUP(B239,Plant_Master!A:A,Plant_Master!B:B)</f>
        <v>Rose</v>
      </c>
      <c r="I239" s="9" t="str">
        <f>_xlfn.XLOOKUP(B239,Plant_Master!A:A,Plant_Master!C:C)</f>
        <v>Succulent</v>
      </c>
      <c r="J239" s="9">
        <f>_xlfn.XLOOKUP(B239,Nursery_Inventory!B:B,Nursery_Inventory!C:C)</f>
        <v>472</v>
      </c>
    </row>
    <row r="240" spans="1:10" ht="13.2" x14ac:dyDescent="0.25">
      <c r="A240" s="10">
        <v>3394</v>
      </c>
      <c r="B240" s="10">
        <v>1433</v>
      </c>
      <c r="C240" s="10" t="s">
        <v>14</v>
      </c>
      <c r="D240" s="10">
        <v>31</v>
      </c>
      <c r="E240" s="10">
        <v>170</v>
      </c>
      <c r="F240" s="9">
        <f t="shared" si="3"/>
        <v>5270</v>
      </c>
      <c r="G240" s="9" t="str">
        <f>_xlfn.XLOOKUP(B240,Nursery_Inventory!B:B,Nursery_Inventory!E:E)</f>
        <v>Mumbai</v>
      </c>
      <c r="H240" s="9" t="str">
        <f>_xlfn.XLOOKUP(B240,Plant_Master!A:A,Plant_Master!B:B)</f>
        <v>Lily</v>
      </c>
      <c r="I240" s="9" t="str">
        <f>_xlfn.XLOOKUP(B240,Plant_Master!A:A,Plant_Master!C:C)</f>
        <v>Medicinal</v>
      </c>
      <c r="J240" s="9">
        <f>_xlfn.XLOOKUP(B240,Nursery_Inventory!B:B,Nursery_Inventory!C:C)</f>
        <v>247</v>
      </c>
    </row>
    <row r="241" spans="1:10" ht="13.2" x14ac:dyDescent="0.25">
      <c r="A241" s="10">
        <v>3027</v>
      </c>
      <c r="B241" s="10">
        <v>1293</v>
      </c>
      <c r="C241" s="10" t="s">
        <v>7</v>
      </c>
      <c r="D241" s="10">
        <v>28</v>
      </c>
      <c r="E241" s="10">
        <v>188</v>
      </c>
      <c r="F241" s="9">
        <f t="shared" si="3"/>
        <v>5264</v>
      </c>
      <c r="G241" s="9" t="str">
        <f>_xlfn.XLOOKUP(B241,Nursery_Inventory!B:B,Nursery_Inventory!E:E)</f>
        <v>Mumbai</v>
      </c>
      <c r="H241" s="9" t="str">
        <f>_xlfn.XLOOKUP(B241,Plant_Master!A:A,Plant_Master!B:B)</f>
        <v>Tulip</v>
      </c>
      <c r="I241" s="9" t="str">
        <f>_xlfn.XLOOKUP(B241,Plant_Master!A:A,Plant_Master!C:C)</f>
        <v>Medicinal</v>
      </c>
      <c r="J241" s="9">
        <f>_xlfn.XLOOKUP(B241,Nursery_Inventory!B:B,Nursery_Inventory!C:C)</f>
        <v>266</v>
      </c>
    </row>
    <row r="242" spans="1:10" ht="13.2" x14ac:dyDescent="0.25">
      <c r="A242" s="10">
        <v>3108</v>
      </c>
      <c r="B242" s="10">
        <v>1456</v>
      </c>
      <c r="C242" s="10" t="s">
        <v>14</v>
      </c>
      <c r="D242" s="10">
        <v>50</v>
      </c>
      <c r="E242" s="10">
        <v>105</v>
      </c>
      <c r="F242" s="9">
        <f t="shared" si="3"/>
        <v>5250</v>
      </c>
      <c r="G242" s="13" t="s">
        <v>79</v>
      </c>
      <c r="H242" s="9" t="str">
        <f>_xlfn.XLOOKUP(B242,Plant_Master!A:A,Plant_Master!B:B)</f>
        <v>Bamboo</v>
      </c>
      <c r="I242" s="9" t="str">
        <f>_xlfn.XLOOKUP(B242,Plant_Master!A:A,Plant_Master!C:C)</f>
        <v>Medicinal</v>
      </c>
      <c r="J242" s="13" t="s">
        <v>73</v>
      </c>
    </row>
    <row r="243" spans="1:10" ht="13.2" x14ac:dyDescent="0.25">
      <c r="A243" s="10">
        <v>3337</v>
      </c>
      <c r="B243" s="10">
        <v>1112</v>
      </c>
      <c r="C243" s="10" t="s">
        <v>25</v>
      </c>
      <c r="D243" s="10">
        <v>30</v>
      </c>
      <c r="E243" s="10">
        <v>356</v>
      </c>
      <c r="F243" s="9">
        <f t="shared" si="3"/>
        <v>10680</v>
      </c>
      <c r="G243" s="9" t="str">
        <f>_xlfn.XLOOKUP(B243,Nursery_Inventory!B:B,Nursery_Inventory!E:E)</f>
        <v>Pune</v>
      </c>
      <c r="H243" s="9" t="str">
        <f>_xlfn.XLOOKUP(B243,Plant_Master!A:A,Plant_Master!B:B)</f>
        <v>Rose</v>
      </c>
      <c r="I243" s="9" t="str">
        <f>_xlfn.XLOOKUP(B243,Plant_Master!A:A,Plant_Master!C:C)</f>
        <v>Flower</v>
      </c>
      <c r="J243" s="9">
        <f>_xlfn.XLOOKUP(B243,Nursery_Inventory!B:B,Nursery_Inventory!C:C)</f>
        <v>261</v>
      </c>
    </row>
    <row r="244" spans="1:10" ht="13.2" x14ac:dyDescent="0.25">
      <c r="A244" s="10">
        <v>3391</v>
      </c>
      <c r="B244" s="10">
        <v>1329</v>
      </c>
      <c r="C244" s="10" t="s">
        <v>25</v>
      </c>
      <c r="D244" s="10">
        <v>29</v>
      </c>
      <c r="E244" s="10">
        <v>273</v>
      </c>
      <c r="F244" s="9">
        <f t="shared" si="3"/>
        <v>7917</v>
      </c>
      <c r="G244" s="9" t="str">
        <f>_xlfn.XLOOKUP(B244,Nursery_Inventory!B:B,Nursery_Inventory!E:E)</f>
        <v>Pune</v>
      </c>
      <c r="H244" s="9" t="str">
        <f>_xlfn.XLOOKUP(B244,Plant_Master!A:A,Plant_Master!B:B)</f>
        <v>Lily</v>
      </c>
      <c r="I244" s="9" t="str">
        <f>_xlfn.XLOOKUP(B244,Plant_Master!A:A,Plant_Master!C:C)</f>
        <v>Medicinal</v>
      </c>
      <c r="J244" s="9">
        <f>_xlfn.XLOOKUP(B244,Nursery_Inventory!B:B,Nursery_Inventory!C:C)</f>
        <v>259</v>
      </c>
    </row>
    <row r="245" spans="1:10" ht="13.2" x14ac:dyDescent="0.25">
      <c r="A245" s="10">
        <v>3355</v>
      </c>
      <c r="B245" s="10">
        <v>1209</v>
      </c>
      <c r="C245" s="10" t="s">
        <v>12</v>
      </c>
      <c r="D245" s="10">
        <v>12</v>
      </c>
      <c r="E245" s="10">
        <v>434</v>
      </c>
      <c r="F245" s="9">
        <f t="shared" si="3"/>
        <v>5208</v>
      </c>
      <c r="G245" s="9" t="str">
        <f>_xlfn.XLOOKUP(B245,Nursery_Inventory!B:B,Nursery_Inventory!E:E)</f>
        <v>Mumbai</v>
      </c>
      <c r="H245" s="9" t="str">
        <f>_xlfn.XLOOKUP(B245,Plant_Master!A:A,Plant_Master!B:B)</f>
        <v>Fern</v>
      </c>
      <c r="I245" s="9" t="str">
        <f>_xlfn.XLOOKUP(B245,Plant_Master!A:A,Plant_Master!C:C)</f>
        <v>Medicinal</v>
      </c>
      <c r="J245" s="9">
        <f>_xlfn.XLOOKUP(B245,Nursery_Inventory!B:B,Nursery_Inventory!C:C)</f>
        <v>324</v>
      </c>
    </row>
    <row r="246" spans="1:10" ht="13.2" x14ac:dyDescent="0.25">
      <c r="A246" s="10">
        <v>3078</v>
      </c>
      <c r="B246" s="10">
        <v>1371</v>
      </c>
      <c r="C246" s="10" t="s">
        <v>12</v>
      </c>
      <c r="D246" s="10">
        <v>35</v>
      </c>
      <c r="E246" s="10">
        <v>136</v>
      </c>
      <c r="F246" s="9">
        <f t="shared" si="3"/>
        <v>4760</v>
      </c>
      <c r="G246" s="9" t="str">
        <f>_xlfn.XLOOKUP(B246,Nursery_Inventory!B:B,Nursery_Inventory!E:E)</f>
        <v>Pune</v>
      </c>
      <c r="H246" s="9" t="str">
        <f>_xlfn.XLOOKUP(B246,Plant_Master!A:A,Plant_Master!B:B)</f>
        <v>Fern</v>
      </c>
      <c r="I246" s="9" t="str">
        <f>_xlfn.XLOOKUP(B246,Plant_Master!A:A,Plant_Master!C:C)</f>
        <v>Outdoor</v>
      </c>
      <c r="J246" s="9">
        <f>_xlfn.XLOOKUP(B246,Nursery_Inventory!B:B,Nursery_Inventory!C:C)</f>
        <v>256</v>
      </c>
    </row>
    <row r="247" spans="1:10" ht="13.2" x14ac:dyDescent="0.25">
      <c r="A247" s="10">
        <v>3326</v>
      </c>
      <c r="B247" s="10">
        <v>1195</v>
      </c>
      <c r="C247" s="10" t="s">
        <v>7</v>
      </c>
      <c r="D247" s="10">
        <v>41</v>
      </c>
      <c r="E247" s="10">
        <v>446</v>
      </c>
      <c r="F247" s="9">
        <f t="shared" si="3"/>
        <v>18286</v>
      </c>
      <c r="G247" s="9" t="str">
        <f>_xlfn.XLOOKUP(B247,Nursery_Inventory!B:B,Nursery_Inventory!E:E)</f>
        <v>Delhi</v>
      </c>
      <c r="H247" s="9" t="str">
        <f>_xlfn.XLOOKUP(B247,Plant_Master!A:A,Plant_Master!B:B)</f>
        <v>Aloe</v>
      </c>
      <c r="I247" s="9" t="str">
        <f>_xlfn.XLOOKUP(B247,Plant_Master!A:A,Plant_Master!C:C)</f>
        <v>Medicinal</v>
      </c>
      <c r="J247" s="9">
        <f>_xlfn.XLOOKUP(B247,Nursery_Inventory!B:B,Nursery_Inventory!C:C)</f>
        <v>332</v>
      </c>
    </row>
    <row r="248" spans="1:10" ht="13.2" x14ac:dyDescent="0.25">
      <c r="A248" s="10">
        <v>3190</v>
      </c>
      <c r="B248" s="10">
        <v>1139</v>
      </c>
      <c r="C248" s="10" t="s">
        <v>7</v>
      </c>
      <c r="D248" s="10">
        <v>26</v>
      </c>
      <c r="E248" s="10">
        <v>437</v>
      </c>
      <c r="F248" s="9">
        <f t="shared" si="3"/>
        <v>11362</v>
      </c>
      <c r="G248" s="9" t="str">
        <f>_xlfn.XLOOKUP(B248,Nursery_Inventory!B:B,Nursery_Inventory!E:E)</f>
        <v>Chennai</v>
      </c>
      <c r="H248" s="9" t="str">
        <f>_xlfn.XLOOKUP(B248,Plant_Master!A:A,Plant_Master!B:B)</f>
        <v>Palm</v>
      </c>
      <c r="I248" s="9" t="str">
        <f>_xlfn.XLOOKUP(B248,Plant_Master!A:A,Plant_Master!C:C)</f>
        <v>Outdoor</v>
      </c>
      <c r="J248" s="9">
        <f>_xlfn.XLOOKUP(B248,Nursery_Inventory!B:B,Nursery_Inventory!C:C)</f>
        <v>338</v>
      </c>
    </row>
    <row r="249" spans="1:10" ht="13.2" x14ac:dyDescent="0.25">
      <c r="A249" s="10">
        <v>3434</v>
      </c>
      <c r="B249" s="10">
        <v>1195</v>
      </c>
      <c r="C249" s="10" t="s">
        <v>9</v>
      </c>
      <c r="D249" s="10">
        <v>26</v>
      </c>
      <c r="E249" s="10">
        <v>405</v>
      </c>
      <c r="F249" s="9">
        <f t="shared" si="3"/>
        <v>10530</v>
      </c>
      <c r="G249" s="9" t="str">
        <f>_xlfn.XLOOKUP(B249,Nursery_Inventory!B:B,Nursery_Inventory!E:E)</f>
        <v>Delhi</v>
      </c>
      <c r="H249" s="9" t="str">
        <f>_xlfn.XLOOKUP(B249,Plant_Master!A:A,Plant_Master!B:B)</f>
        <v>Aloe</v>
      </c>
      <c r="I249" s="9" t="str">
        <f>_xlfn.XLOOKUP(B249,Plant_Master!A:A,Plant_Master!C:C)</f>
        <v>Medicinal</v>
      </c>
      <c r="J249" s="9">
        <f>_xlfn.XLOOKUP(B249,Nursery_Inventory!B:B,Nursery_Inventory!C:C)</f>
        <v>332</v>
      </c>
    </row>
    <row r="250" spans="1:10" ht="13.2" x14ac:dyDescent="0.25">
      <c r="A250" s="10">
        <v>3392</v>
      </c>
      <c r="B250" s="10">
        <v>1285</v>
      </c>
      <c r="C250" s="10" t="s">
        <v>12</v>
      </c>
      <c r="D250" s="10">
        <v>43</v>
      </c>
      <c r="E250" s="10">
        <v>427</v>
      </c>
      <c r="F250" s="9">
        <f t="shared" si="3"/>
        <v>18361</v>
      </c>
      <c r="G250" s="9" t="str">
        <f>_xlfn.XLOOKUP(B250,Nursery_Inventory!B:B,Nursery_Inventory!E:E)</f>
        <v>Mumbai</v>
      </c>
      <c r="H250" s="9" t="str">
        <f>_xlfn.XLOOKUP(B250,Plant_Master!A:A,Plant_Master!B:B)</f>
        <v>Jasmine</v>
      </c>
      <c r="I250" s="9" t="str">
        <f>_xlfn.XLOOKUP(B250,Plant_Master!A:A,Plant_Master!C:C)</f>
        <v>Flower</v>
      </c>
      <c r="J250" s="9">
        <f>_xlfn.XLOOKUP(B250,Nursery_Inventory!B:B,Nursery_Inventory!C:C)</f>
        <v>328</v>
      </c>
    </row>
    <row r="251" spans="1:10" ht="13.2" x14ac:dyDescent="0.25">
      <c r="A251" s="10">
        <v>3352</v>
      </c>
      <c r="B251" s="10">
        <v>1115</v>
      </c>
      <c r="C251" s="10" t="s">
        <v>12</v>
      </c>
      <c r="D251" s="10">
        <v>34</v>
      </c>
      <c r="E251" s="10">
        <v>386</v>
      </c>
      <c r="F251" s="9">
        <f t="shared" si="3"/>
        <v>13124</v>
      </c>
      <c r="G251" s="9" t="str">
        <f>_xlfn.XLOOKUP(B251,Nursery_Inventory!B:B,Nursery_Inventory!E:E)</f>
        <v>Mumbai</v>
      </c>
      <c r="H251" s="9" t="str">
        <f>_xlfn.XLOOKUP(B251,Plant_Master!A:A,Plant_Master!B:B)</f>
        <v>Jasmine</v>
      </c>
      <c r="I251" s="9" t="str">
        <f>_xlfn.XLOOKUP(B251,Plant_Master!A:A,Plant_Master!C:C)</f>
        <v>Flower</v>
      </c>
      <c r="J251" s="9">
        <f>_xlfn.XLOOKUP(B251,Nursery_Inventory!B:B,Nursery_Inventory!C:C)</f>
        <v>280</v>
      </c>
    </row>
    <row r="252" spans="1:10" ht="13.2" x14ac:dyDescent="0.25">
      <c r="A252" s="10">
        <v>3132</v>
      </c>
      <c r="B252" s="10">
        <v>1115</v>
      </c>
      <c r="C252" s="10" t="s">
        <v>14</v>
      </c>
      <c r="D252" s="10">
        <v>4</v>
      </c>
      <c r="E252" s="10">
        <v>104</v>
      </c>
      <c r="F252" s="9">
        <f t="shared" si="3"/>
        <v>416</v>
      </c>
      <c r="G252" s="9" t="str">
        <f>_xlfn.XLOOKUP(B252,Nursery_Inventory!B:B,Nursery_Inventory!E:E)</f>
        <v>Mumbai</v>
      </c>
      <c r="H252" s="9" t="str">
        <f>_xlfn.XLOOKUP(B252,Plant_Master!A:A,Plant_Master!B:B)</f>
        <v>Jasmine</v>
      </c>
      <c r="I252" s="9" t="str">
        <f>_xlfn.XLOOKUP(B252,Plant_Master!A:A,Plant_Master!C:C)</f>
        <v>Flower</v>
      </c>
      <c r="J252" s="9">
        <f>_xlfn.XLOOKUP(B252,Nursery_Inventory!B:B,Nursery_Inventory!C:C)</f>
        <v>280</v>
      </c>
    </row>
    <row r="253" spans="1:10" ht="13.2" x14ac:dyDescent="0.25">
      <c r="A253" s="10">
        <v>3423</v>
      </c>
      <c r="B253" s="10">
        <v>1216</v>
      </c>
      <c r="C253" s="10" t="s">
        <v>7</v>
      </c>
      <c r="D253" s="10">
        <v>24</v>
      </c>
      <c r="E253" s="10">
        <v>390</v>
      </c>
      <c r="F253" s="9">
        <f t="shared" si="3"/>
        <v>9360</v>
      </c>
      <c r="G253" s="13" t="s">
        <v>79</v>
      </c>
      <c r="H253" s="9" t="str">
        <f>_xlfn.XLOOKUP(B253,Plant_Master!A:A,Plant_Master!B:B)</f>
        <v>Cactus</v>
      </c>
      <c r="I253" s="9" t="str">
        <f>_xlfn.XLOOKUP(B253,Plant_Master!A:A,Plant_Master!C:C)</f>
        <v>Outdoor</v>
      </c>
      <c r="J253" s="13" t="s">
        <v>73</v>
      </c>
    </row>
    <row r="254" spans="1:10" ht="13.2" x14ac:dyDescent="0.25">
      <c r="A254" s="10">
        <v>3121</v>
      </c>
      <c r="B254" s="10">
        <v>1467</v>
      </c>
      <c r="C254" s="10" t="s">
        <v>7</v>
      </c>
      <c r="D254" s="10">
        <v>24</v>
      </c>
      <c r="E254" s="10">
        <v>53</v>
      </c>
      <c r="F254" s="9">
        <f t="shared" si="3"/>
        <v>1272</v>
      </c>
      <c r="G254" s="13" t="s">
        <v>79</v>
      </c>
      <c r="H254" s="9" t="str">
        <f>_xlfn.XLOOKUP(B254,Plant_Master!A:A,Plant_Master!B:B)</f>
        <v>Aloe</v>
      </c>
      <c r="I254" s="9" t="str">
        <f>_xlfn.XLOOKUP(B254,Plant_Master!A:A,Plant_Master!C:C)</f>
        <v>Outdoor</v>
      </c>
      <c r="J254" s="13" t="s">
        <v>73</v>
      </c>
    </row>
    <row r="255" spans="1:10" ht="13.2" x14ac:dyDescent="0.25">
      <c r="A255" s="10">
        <v>3173</v>
      </c>
      <c r="B255" s="10">
        <v>1371</v>
      </c>
      <c r="C255" s="10" t="s">
        <v>12</v>
      </c>
      <c r="D255" s="10">
        <v>30</v>
      </c>
      <c r="E255" s="10">
        <v>302</v>
      </c>
      <c r="F255" s="9">
        <f t="shared" si="3"/>
        <v>9060</v>
      </c>
      <c r="G255" s="9" t="str">
        <f>_xlfn.XLOOKUP(B255,Nursery_Inventory!B:B,Nursery_Inventory!E:E)</f>
        <v>Pune</v>
      </c>
      <c r="H255" s="9" t="str">
        <f>_xlfn.XLOOKUP(B255,Plant_Master!A:A,Plant_Master!B:B)</f>
        <v>Fern</v>
      </c>
      <c r="I255" s="9" t="str">
        <f>_xlfn.XLOOKUP(B255,Plant_Master!A:A,Plant_Master!C:C)</f>
        <v>Outdoor</v>
      </c>
      <c r="J255" s="9">
        <f>_xlfn.XLOOKUP(B255,Nursery_Inventory!B:B,Nursery_Inventory!C:C)</f>
        <v>256</v>
      </c>
    </row>
    <row r="256" spans="1:10" ht="13.2" x14ac:dyDescent="0.25">
      <c r="A256" s="10">
        <v>3311</v>
      </c>
      <c r="B256" s="10">
        <v>1195</v>
      </c>
      <c r="C256" s="10" t="s">
        <v>25</v>
      </c>
      <c r="D256" s="10">
        <v>8</v>
      </c>
      <c r="E256" s="10">
        <v>77</v>
      </c>
      <c r="F256" s="9">
        <f t="shared" si="3"/>
        <v>616</v>
      </c>
      <c r="G256" s="9" t="str">
        <f>_xlfn.XLOOKUP(B256,Nursery_Inventory!B:B,Nursery_Inventory!E:E)</f>
        <v>Delhi</v>
      </c>
      <c r="H256" s="9" t="str">
        <f>_xlfn.XLOOKUP(B256,Plant_Master!A:A,Plant_Master!B:B)</f>
        <v>Aloe</v>
      </c>
      <c r="I256" s="9" t="str">
        <f>_xlfn.XLOOKUP(B256,Plant_Master!A:A,Plant_Master!C:C)</f>
        <v>Medicinal</v>
      </c>
      <c r="J256" s="9">
        <f>_xlfn.XLOOKUP(B256,Nursery_Inventory!B:B,Nursery_Inventory!C:C)</f>
        <v>332</v>
      </c>
    </row>
    <row r="257" spans="1:10" ht="13.2" x14ac:dyDescent="0.25">
      <c r="A257" s="10">
        <v>3174</v>
      </c>
      <c r="B257" s="10">
        <v>1266</v>
      </c>
      <c r="C257" s="10" t="s">
        <v>7</v>
      </c>
      <c r="D257" s="10">
        <v>12</v>
      </c>
      <c r="E257" s="10">
        <v>410</v>
      </c>
      <c r="F257" s="9">
        <f t="shared" si="3"/>
        <v>4920</v>
      </c>
      <c r="G257" s="9" t="str">
        <f>_xlfn.XLOOKUP(B257,Nursery_Inventory!B:B,Nursery_Inventory!E:E)</f>
        <v>Mumbai</v>
      </c>
      <c r="H257" s="9" t="str">
        <f>_xlfn.XLOOKUP(B257,Plant_Master!A:A,Plant_Master!B:B)</f>
        <v>Tulip</v>
      </c>
      <c r="I257" s="9" t="str">
        <f>_xlfn.XLOOKUP(B257,Plant_Master!A:A,Plant_Master!C:C)</f>
        <v>Indoor</v>
      </c>
      <c r="J257" s="9">
        <f>_xlfn.XLOOKUP(B257,Nursery_Inventory!B:B,Nursery_Inventory!C:C)</f>
        <v>116</v>
      </c>
    </row>
    <row r="258" spans="1:10" ht="13.2" x14ac:dyDescent="0.25">
      <c r="A258" s="10">
        <v>3446</v>
      </c>
      <c r="B258" s="10">
        <v>1316</v>
      </c>
      <c r="C258" s="10" t="s">
        <v>14</v>
      </c>
      <c r="D258" s="10">
        <v>40</v>
      </c>
      <c r="E258" s="10">
        <v>123</v>
      </c>
      <c r="F258" s="9">
        <f t="shared" ref="F258:F321" si="4">D258*E258</f>
        <v>4920</v>
      </c>
      <c r="G258" s="13" t="s">
        <v>79</v>
      </c>
      <c r="H258" s="9" t="str">
        <f>_xlfn.XLOOKUP(B258,Plant_Master!A:A,Plant_Master!B:B)</f>
        <v>Bamboo</v>
      </c>
      <c r="I258" s="9" t="str">
        <f>_xlfn.XLOOKUP(B258,Plant_Master!A:A,Plant_Master!C:C)</f>
        <v>Indoor</v>
      </c>
      <c r="J258" s="13" t="s">
        <v>73</v>
      </c>
    </row>
    <row r="259" spans="1:10" ht="13.2" x14ac:dyDescent="0.25">
      <c r="A259" s="10">
        <v>3079</v>
      </c>
      <c r="B259" s="10">
        <v>1308</v>
      </c>
      <c r="C259" s="10" t="s">
        <v>7</v>
      </c>
      <c r="D259" s="10">
        <v>43</v>
      </c>
      <c r="E259" s="10">
        <v>310</v>
      </c>
      <c r="F259" s="9">
        <f t="shared" si="4"/>
        <v>13330</v>
      </c>
      <c r="G259" s="9" t="str">
        <f>_xlfn.XLOOKUP(B259,Nursery_Inventory!B:B,Nursery_Inventory!E:E)</f>
        <v>Delhi</v>
      </c>
      <c r="H259" s="9" t="str">
        <f>_xlfn.XLOOKUP(B259,Plant_Master!A:A,Plant_Master!B:B)</f>
        <v>Lily</v>
      </c>
      <c r="I259" s="9" t="str">
        <f>_xlfn.XLOOKUP(B259,Plant_Master!A:A,Plant_Master!C:C)</f>
        <v>Indoor</v>
      </c>
      <c r="J259" s="9">
        <f>_xlfn.XLOOKUP(B259,Nursery_Inventory!B:B,Nursery_Inventory!C:C)</f>
        <v>279</v>
      </c>
    </row>
    <row r="260" spans="1:10" ht="13.2" x14ac:dyDescent="0.25">
      <c r="A260" s="10">
        <v>3164</v>
      </c>
      <c r="B260" s="10">
        <v>1371</v>
      </c>
      <c r="C260" s="10" t="s">
        <v>7</v>
      </c>
      <c r="D260" s="10">
        <v>27</v>
      </c>
      <c r="E260" s="10">
        <v>273</v>
      </c>
      <c r="F260" s="9">
        <f t="shared" si="4"/>
        <v>7371</v>
      </c>
      <c r="G260" s="9" t="str">
        <f>_xlfn.XLOOKUP(B260,Nursery_Inventory!B:B,Nursery_Inventory!E:E)</f>
        <v>Pune</v>
      </c>
      <c r="H260" s="9" t="str">
        <f>_xlfn.XLOOKUP(B260,Plant_Master!A:A,Plant_Master!B:B)</f>
        <v>Fern</v>
      </c>
      <c r="I260" s="9" t="str">
        <f>_xlfn.XLOOKUP(B260,Plant_Master!A:A,Plant_Master!C:C)</f>
        <v>Outdoor</v>
      </c>
      <c r="J260" s="9">
        <f>_xlfn.XLOOKUP(B260,Nursery_Inventory!B:B,Nursery_Inventory!C:C)</f>
        <v>256</v>
      </c>
    </row>
    <row r="261" spans="1:10" ht="13.2" x14ac:dyDescent="0.25">
      <c r="A261" s="10">
        <v>3049</v>
      </c>
      <c r="B261" s="10">
        <v>1292</v>
      </c>
      <c r="C261" s="10" t="s">
        <v>12</v>
      </c>
      <c r="D261" s="10">
        <v>29</v>
      </c>
      <c r="E261" s="10">
        <v>241</v>
      </c>
      <c r="F261" s="9">
        <f t="shared" si="4"/>
        <v>6989</v>
      </c>
      <c r="G261" s="9" t="str">
        <f>_xlfn.XLOOKUP(B261,Nursery_Inventory!B:B,Nursery_Inventory!E:E)</f>
        <v>Delhi</v>
      </c>
      <c r="H261" s="9" t="str">
        <f>_xlfn.XLOOKUP(B261,Plant_Master!A:A,Plant_Master!B:B)</f>
        <v>Rose</v>
      </c>
      <c r="I261" s="9" t="str">
        <f>_xlfn.XLOOKUP(B261,Plant_Master!A:A,Plant_Master!C:C)</f>
        <v>Succulent</v>
      </c>
      <c r="J261" s="9">
        <f>_xlfn.XLOOKUP(B261,Nursery_Inventory!B:B,Nursery_Inventory!C:C)</f>
        <v>261</v>
      </c>
    </row>
    <row r="262" spans="1:10" ht="13.2" x14ac:dyDescent="0.25">
      <c r="A262" s="10">
        <v>3413</v>
      </c>
      <c r="B262" s="10">
        <v>1482</v>
      </c>
      <c r="C262" s="10" t="s">
        <v>25</v>
      </c>
      <c r="D262" s="10">
        <v>20</v>
      </c>
      <c r="E262" s="10">
        <v>193</v>
      </c>
      <c r="F262" s="9">
        <f t="shared" si="4"/>
        <v>3860</v>
      </c>
      <c r="G262" s="9" t="str">
        <f>_xlfn.XLOOKUP(B262,Nursery_Inventory!B:B,Nursery_Inventory!E:E)</f>
        <v>Delhi</v>
      </c>
      <c r="H262" s="9" t="str">
        <f>_xlfn.XLOOKUP(B262,Plant_Master!A:A,Plant_Master!B:B)</f>
        <v>Cactus</v>
      </c>
      <c r="I262" s="9" t="str">
        <f>_xlfn.XLOOKUP(B262,Plant_Master!A:A,Plant_Master!C:C)</f>
        <v>Flower</v>
      </c>
      <c r="J262" s="9">
        <f>_xlfn.XLOOKUP(B262,Nursery_Inventory!B:B,Nursery_Inventory!C:C)</f>
        <v>249</v>
      </c>
    </row>
    <row r="263" spans="1:10" ht="13.2" x14ac:dyDescent="0.25">
      <c r="A263" s="10">
        <v>3437</v>
      </c>
      <c r="B263" s="10">
        <v>1365</v>
      </c>
      <c r="C263" s="10" t="s">
        <v>7</v>
      </c>
      <c r="D263" s="10">
        <v>24</v>
      </c>
      <c r="E263" s="10">
        <v>497</v>
      </c>
      <c r="F263" s="9">
        <f t="shared" si="4"/>
        <v>11928</v>
      </c>
      <c r="G263" s="9" t="str">
        <f>_xlfn.XLOOKUP(B263,Nursery_Inventory!B:B,Nursery_Inventory!E:E)</f>
        <v>Chennai</v>
      </c>
      <c r="H263" s="9" t="str">
        <f>_xlfn.XLOOKUP(B263,Plant_Master!A:A,Plant_Master!B:B)</f>
        <v>Rose</v>
      </c>
      <c r="I263" s="9" t="str">
        <f>_xlfn.XLOOKUP(B263,Plant_Master!A:A,Plant_Master!C:C)</f>
        <v>Outdoor</v>
      </c>
      <c r="J263" s="9">
        <f>_xlfn.XLOOKUP(B263,Nursery_Inventory!B:B,Nursery_Inventory!C:C)</f>
        <v>261</v>
      </c>
    </row>
    <row r="264" spans="1:10" ht="13.2" x14ac:dyDescent="0.25">
      <c r="A264" s="10">
        <v>3402</v>
      </c>
      <c r="B264" s="10">
        <v>1130</v>
      </c>
      <c r="C264" s="10" t="s">
        <v>14</v>
      </c>
      <c r="D264" s="10">
        <v>21</v>
      </c>
      <c r="E264" s="10">
        <v>344</v>
      </c>
      <c r="F264" s="9">
        <f t="shared" si="4"/>
        <v>7224</v>
      </c>
      <c r="G264" s="9" t="str">
        <f>_xlfn.XLOOKUP(B264,Nursery_Inventory!B:B,Nursery_Inventory!E:E)</f>
        <v>Pune</v>
      </c>
      <c r="H264" s="9" t="str">
        <f>_xlfn.XLOOKUP(B264,Plant_Master!A:A,Plant_Master!B:B)</f>
        <v>Tulip</v>
      </c>
      <c r="I264" s="9" t="str">
        <f>_xlfn.XLOOKUP(B264,Plant_Master!A:A,Plant_Master!C:C)</f>
        <v>Medicinal</v>
      </c>
      <c r="J264" s="9">
        <f>_xlfn.XLOOKUP(B264,Nursery_Inventory!B:B,Nursery_Inventory!C:C)</f>
        <v>251</v>
      </c>
    </row>
    <row r="265" spans="1:10" ht="13.2" x14ac:dyDescent="0.25">
      <c r="A265" s="10">
        <v>3292</v>
      </c>
      <c r="B265" s="10">
        <v>1126</v>
      </c>
      <c r="C265" s="10" t="s">
        <v>25</v>
      </c>
      <c r="D265" s="10">
        <v>13</v>
      </c>
      <c r="E265" s="10">
        <v>358</v>
      </c>
      <c r="F265" s="9">
        <f t="shared" si="4"/>
        <v>4654</v>
      </c>
      <c r="G265" s="13" t="s">
        <v>79</v>
      </c>
      <c r="H265" s="9" t="str">
        <f>_xlfn.XLOOKUP(B265,Plant_Master!A:A,Plant_Master!B:B)</f>
        <v>Rose</v>
      </c>
      <c r="I265" s="9" t="str">
        <f>_xlfn.XLOOKUP(B265,Plant_Master!A:A,Plant_Master!C:C)</f>
        <v>Indoor</v>
      </c>
      <c r="J265" s="13" t="s">
        <v>73</v>
      </c>
    </row>
    <row r="266" spans="1:10" ht="13.2" x14ac:dyDescent="0.25">
      <c r="A266" s="10">
        <v>3209</v>
      </c>
      <c r="B266" s="10">
        <v>1051</v>
      </c>
      <c r="C266" s="10" t="s">
        <v>7</v>
      </c>
      <c r="D266" s="10">
        <v>43</v>
      </c>
      <c r="E266" s="10">
        <v>108</v>
      </c>
      <c r="F266" s="9">
        <f t="shared" si="4"/>
        <v>4644</v>
      </c>
      <c r="G266" s="13" t="s">
        <v>79</v>
      </c>
      <c r="H266" s="9" t="str">
        <f>_xlfn.XLOOKUP(B266,Plant_Master!A:A,Plant_Master!B:B)</f>
        <v>Rose</v>
      </c>
      <c r="I266" s="9" t="str">
        <f>_xlfn.XLOOKUP(B266,Plant_Master!A:A,Plant_Master!C:C)</f>
        <v>Indoor</v>
      </c>
      <c r="J266" s="13" t="s">
        <v>73</v>
      </c>
    </row>
    <row r="267" spans="1:10" ht="13.2" x14ac:dyDescent="0.25">
      <c r="A267" s="10">
        <v>3272</v>
      </c>
      <c r="B267" s="10">
        <v>1380</v>
      </c>
      <c r="C267" s="10" t="s">
        <v>9</v>
      </c>
      <c r="D267" s="10">
        <v>8</v>
      </c>
      <c r="E267" s="10">
        <v>411</v>
      </c>
      <c r="F267" s="9">
        <f t="shared" si="4"/>
        <v>3288</v>
      </c>
      <c r="G267" s="9" t="str">
        <f>_xlfn.XLOOKUP(B267,Nursery_Inventory!B:B,Nursery_Inventory!E:E)</f>
        <v>Mumbai</v>
      </c>
      <c r="H267" s="9" t="str">
        <f>_xlfn.XLOOKUP(B267,Plant_Master!A:A,Plant_Master!B:B)</f>
        <v>Jasmine</v>
      </c>
      <c r="I267" s="9" t="str">
        <f>_xlfn.XLOOKUP(B267,Plant_Master!A:A,Plant_Master!C:C)</f>
        <v>Flower</v>
      </c>
      <c r="J267" s="9">
        <f>_xlfn.XLOOKUP(B267,Nursery_Inventory!B:B,Nursery_Inventory!C:C)</f>
        <v>244</v>
      </c>
    </row>
    <row r="268" spans="1:10" ht="13.2" x14ac:dyDescent="0.25">
      <c r="A268" s="10">
        <v>3453</v>
      </c>
      <c r="B268" s="10">
        <v>1422</v>
      </c>
      <c r="C268" s="10" t="s">
        <v>7</v>
      </c>
      <c r="D268" s="10">
        <v>1</v>
      </c>
      <c r="E268" s="10">
        <v>110</v>
      </c>
      <c r="F268" s="9">
        <f t="shared" si="4"/>
        <v>110</v>
      </c>
      <c r="G268" s="9" t="str">
        <f>_xlfn.XLOOKUP(B268,Nursery_Inventory!B:B,Nursery_Inventory!E:E)</f>
        <v>Pune</v>
      </c>
      <c r="H268" s="9" t="str">
        <f>_xlfn.XLOOKUP(B268,Plant_Master!A:A,Plant_Master!B:B)</f>
        <v>Bamboo</v>
      </c>
      <c r="I268" s="9" t="str">
        <f>_xlfn.XLOOKUP(B268,Plant_Master!A:A,Plant_Master!C:C)</f>
        <v>Flower</v>
      </c>
      <c r="J268" s="9">
        <f>_xlfn.XLOOKUP(B268,Nursery_Inventory!B:B,Nursery_Inventory!C:C)</f>
        <v>245</v>
      </c>
    </row>
    <row r="269" spans="1:10" ht="13.2" x14ac:dyDescent="0.25">
      <c r="A269" s="10">
        <v>3022</v>
      </c>
      <c r="B269" s="10">
        <v>1105</v>
      </c>
      <c r="C269" s="10" t="s">
        <v>7</v>
      </c>
      <c r="D269" s="10">
        <v>38</v>
      </c>
      <c r="E269" s="10">
        <v>176</v>
      </c>
      <c r="F269" s="9">
        <f t="shared" si="4"/>
        <v>6688</v>
      </c>
      <c r="G269" s="9" t="str">
        <f>_xlfn.XLOOKUP(B269,Nursery_Inventory!B:B,Nursery_Inventory!E:E)</f>
        <v>Pune</v>
      </c>
      <c r="H269" s="9" t="str">
        <f>_xlfn.XLOOKUP(B269,Plant_Master!A:A,Plant_Master!B:B)</f>
        <v>Fern</v>
      </c>
      <c r="I269" s="9" t="str">
        <f>_xlfn.XLOOKUP(B269,Plant_Master!A:A,Plant_Master!C:C)</f>
        <v>Flower</v>
      </c>
      <c r="J269" s="9">
        <f>_xlfn.XLOOKUP(B269,Nursery_Inventory!B:B,Nursery_Inventory!C:C)</f>
        <v>231</v>
      </c>
    </row>
    <row r="270" spans="1:10" ht="13.2" x14ac:dyDescent="0.25">
      <c r="A270" s="10">
        <v>3287</v>
      </c>
      <c r="B270" s="10">
        <v>1353</v>
      </c>
      <c r="C270" s="10" t="s">
        <v>14</v>
      </c>
      <c r="D270" s="10">
        <v>25</v>
      </c>
      <c r="E270" s="10">
        <v>183</v>
      </c>
      <c r="F270" s="9">
        <f t="shared" si="4"/>
        <v>4575</v>
      </c>
      <c r="G270" s="13" t="s">
        <v>79</v>
      </c>
      <c r="H270" s="9" t="str">
        <f>_xlfn.XLOOKUP(B270,Plant_Master!A:A,Plant_Master!B:B)</f>
        <v>Bamboo</v>
      </c>
      <c r="I270" s="9" t="str">
        <f>_xlfn.XLOOKUP(B270,Plant_Master!A:A,Plant_Master!C:C)</f>
        <v>Succulent</v>
      </c>
      <c r="J270" s="13" t="s">
        <v>73</v>
      </c>
    </row>
    <row r="271" spans="1:10" ht="13.2" x14ac:dyDescent="0.25">
      <c r="A271" s="10">
        <v>3315</v>
      </c>
      <c r="B271" s="10">
        <v>1155</v>
      </c>
      <c r="C271" s="10" t="s">
        <v>25</v>
      </c>
      <c r="D271" s="10">
        <v>23</v>
      </c>
      <c r="E271" s="10">
        <v>123</v>
      </c>
      <c r="F271" s="9">
        <f t="shared" si="4"/>
        <v>2829</v>
      </c>
      <c r="G271" s="9" t="str">
        <f>_xlfn.XLOOKUP(B271,Nursery_Inventory!B:B,Nursery_Inventory!E:E)</f>
        <v>Chennai</v>
      </c>
      <c r="H271" s="9" t="str">
        <f>_xlfn.XLOOKUP(B271,Plant_Master!A:A,Plant_Master!B:B)</f>
        <v>Cactus</v>
      </c>
      <c r="I271" s="9" t="str">
        <f>_xlfn.XLOOKUP(B271,Plant_Master!A:A,Plant_Master!C:C)</f>
        <v>Outdoor</v>
      </c>
      <c r="J271" s="9">
        <f>_xlfn.XLOOKUP(B271,Nursery_Inventory!B:B,Nursery_Inventory!C:C)</f>
        <v>175</v>
      </c>
    </row>
    <row r="272" spans="1:10" ht="13.2" x14ac:dyDescent="0.25">
      <c r="A272" s="10">
        <v>3354</v>
      </c>
      <c r="B272" s="10">
        <v>1406</v>
      </c>
      <c r="C272" s="10" t="s">
        <v>14</v>
      </c>
      <c r="D272" s="10">
        <v>25</v>
      </c>
      <c r="E272" s="10">
        <v>182</v>
      </c>
      <c r="F272" s="9">
        <f t="shared" si="4"/>
        <v>4550</v>
      </c>
      <c r="G272" s="13" t="s">
        <v>79</v>
      </c>
      <c r="H272" s="9" t="str">
        <f>_xlfn.XLOOKUP(B272,Plant_Master!A:A,Plant_Master!B:B)</f>
        <v>Orchid</v>
      </c>
      <c r="I272" s="9" t="str">
        <f>_xlfn.XLOOKUP(B272,Plant_Master!A:A,Plant_Master!C:C)</f>
        <v>Medicinal</v>
      </c>
      <c r="J272" s="13" t="s">
        <v>73</v>
      </c>
    </row>
    <row r="273" spans="1:10" ht="13.2" x14ac:dyDescent="0.25">
      <c r="A273" s="10">
        <v>3136</v>
      </c>
      <c r="B273" s="10">
        <v>1240</v>
      </c>
      <c r="C273" s="10" t="s">
        <v>25</v>
      </c>
      <c r="D273" s="10">
        <v>49</v>
      </c>
      <c r="E273" s="10">
        <v>450</v>
      </c>
      <c r="F273" s="9">
        <f t="shared" si="4"/>
        <v>22050</v>
      </c>
      <c r="G273" s="9" t="str">
        <f>_xlfn.XLOOKUP(B273,Nursery_Inventory!B:B,Nursery_Inventory!E:E)</f>
        <v>Delhi</v>
      </c>
      <c r="H273" s="9" t="str">
        <f>_xlfn.XLOOKUP(B273,Plant_Master!A:A,Plant_Master!B:B)</f>
        <v>Orchid</v>
      </c>
      <c r="I273" s="9" t="str">
        <f>_xlfn.XLOOKUP(B273,Plant_Master!A:A,Plant_Master!C:C)</f>
        <v>Flower</v>
      </c>
      <c r="J273" s="9">
        <f>_xlfn.XLOOKUP(B273,Nursery_Inventory!B:B,Nursery_Inventory!C:C)</f>
        <v>239</v>
      </c>
    </row>
    <row r="274" spans="1:10" ht="13.2" x14ac:dyDescent="0.25">
      <c r="A274" s="10">
        <v>3227</v>
      </c>
      <c r="B274" s="10">
        <v>1429</v>
      </c>
      <c r="C274" s="10" t="s">
        <v>25</v>
      </c>
      <c r="D274" s="10">
        <v>11</v>
      </c>
      <c r="E274" s="10">
        <v>411</v>
      </c>
      <c r="F274" s="9">
        <f t="shared" si="4"/>
        <v>4521</v>
      </c>
      <c r="G274" s="13" t="s">
        <v>79</v>
      </c>
      <c r="H274" s="9" t="str">
        <f>_xlfn.XLOOKUP(B274,Plant_Master!A:A,Plant_Master!B:B)</f>
        <v>Palm</v>
      </c>
      <c r="I274" s="9" t="str">
        <f>_xlfn.XLOOKUP(B274,Plant_Master!A:A,Plant_Master!C:C)</f>
        <v>Medicinal</v>
      </c>
      <c r="J274" s="13" t="s">
        <v>73</v>
      </c>
    </row>
    <row r="275" spans="1:10" ht="13.2" x14ac:dyDescent="0.25">
      <c r="A275" s="10">
        <v>3119</v>
      </c>
      <c r="B275" s="10">
        <v>1351</v>
      </c>
      <c r="C275" s="10" t="s">
        <v>12</v>
      </c>
      <c r="D275" s="10">
        <v>18</v>
      </c>
      <c r="E275" s="10">
        <v>251</v>
      </c>
      <c r="F275" s="9">
        <f t="shared" si="4"/>
        <v>4518</v>
      </c>
      <c r="G275" s="13" t="s">
        <v>79</v>
      </c>
      <c r="H275" s="9" t="str">
        <f>_xlfn.XLOOKUP(B275,Plant_Master!A:A,Plant_Master!B:B)</f>
        <v>Tulip</v>
      </c>
      <c r="I275" s="9" t="str">
        <f>_xlfn.XLOOKUP(B275,Plant_Master!A:A,Plant_Master!C:C)</f>
        <v>Indoor</v>
      </c>
      <c r="J275" s="13" t="s">
        <v>73</v>
      </c>
    </row>
    <row r="276" spans="1:10" ht="13.2" x14ac:dyDescent="0.25">
      <c r="A276" s="10">
        <v>3442</v>
      </c>
      <c r="B276" s="10">
        <v>1147</v>
      </c>
      <c r="C276" s="10" t="s">
        <v>14</v>
      </c>
      <c r="D276" s="10">
        <v>11</v>
      </c>
      <c r="E276" s="10">
        <v>410</v>
      </c>
      <c r="F276" s="9">
        <f t="shared" si="4"/>
        <v>4510</v>
      </c>
      <c r="G276" s="13" t="s">
        <v>79</v>
      </c>
      <c r="H276" s="9" t="str">
        <f>_xlfn.XLOOKUP(B276,Plant_Master!A:A,Plant_Master!B:B)</f>
        <v>Tulip</v>
      </c>
      <c r="I276" s="9" t="str">
        <f>_xlfn.XLOOKUP(B276,Plant_Master!A:A,Plant_Master!C:C)</f>
        <v>Indoor</v>
      </c>
      <c r="J276" s="13" t="s">
        <v>73</v>
      </c>
    </row>
    <row r="277" spans="1:10" ht="13.2" x14ac:dyDescent="0.25">
      <c r="A277" s="10">
        <v>3206</v>
      </c>
      <c r="B277" s="10">
        <v>1009</v>
      </c>
      <c r="C277" s="10" t="s">
        <v>9</v>
      </c>
      <c r="D277" s="10">
        <v>17</v>
      </c>
      <c r="E277" s="10">
        <v>265</v>
      </c>
      <c r="F277" s="9">
        <f t="shared" si="4"/>
        <v>4505</v>
      </c>
      <c r="G277" s="9" t="str">
        <f>_xlfn.XLOOKUP(B277,Nursery_Inventory!B:B,Nursery_Inventory!E:E)</f>
        <v>Mumbai</v>
      </c>
      <c r="H277" s="9" t="str">
        <f>_xlfn.XLOOKUP(B277,Plant_Master!A:A,Plant_Master!B:B)</f>
        <v>Jasmine</v>
      </c>
      <c r="I277" s="9" t="str">
        <f>_xlfn.XLOOKUP(B277,Plant_Master!A:A,Plant_Master!C:C)</f>
        <v>Succulent</v>
      </c>
      <c r="J277" s="9">
        <f>_xlfn.XLOOKUP(B277,Nursery_Inventory!B:B,Nursery_Inventory!C:C)</f>
        <v>475</v>
      </c>
    </row>
    <row r="278" spans="1:10" ht="13.2" x14ac:dyDescent="0.25">
      <c r="A278" s="10">
        <v>3025</v>
      </c>
      <c r="B278" s="10">
        <v>1105</v>
      </c>
      <c r="C278" s="10" t="s">
        <v>9</v>
      </c>
      <c r="D278" s="10">
        <v>13</v>
      </c>
      <c r="E278" s="10">
        <v>177</v>
      </c>
      <c r="F278" s="9">
        <f t="shared" si="4"/>
        <v>2301</v>
      </c>
      <c r="G278" s="9" t="str">
        <f>_xlfn.XLOOKUP(B278,Nursery_Inventory!B:B,Nursery_Inventory!E:E)</f>
        <v>Pune</v>
      </c>
      <c r="H278" s="9" t="str">
        <f>_xlfn.XLOOKUP(B278,Plant_Master!A:A,Plant_Master!B:B)</f>
        <v>Fern</v>
      </c>
      <c r="I278" s="9" t="str">
        <f>_xlfn.XLOOKUP(B278,Plant_Master!A:A,Plant_Master!C:C)</f>
        <v>Flower</v>
      </c>
      <c r="J278" s="9">
        <f>_xlfn.XLOOKUP(B278,Nursery_Inventory!B:B,Nursery_Inventory!C:C)</f>
        <v>231</v>
      </c>
    </row>
    <row r="279" spans="1:10" ht="13.2" x14ac:dyDescent="0.25">
      <c r="A279" s="10">
        <v>3295</v>
      </c>
      <c r="B279" s="10">
        <v>1240</v>
      </c>
      <c r="C279" s="10" t="s">
        <v>9</v>
      </c>
      <c r="D279" s="10">
        <v>25</v>
      </c>
      <c r="E279" s="10">
        <v>101</v>
      </c>
      <c r="F279" s="9">
        <f t="shared" si="4"/>
        <v>2525</v>
      </c>
      <c r="G279" s="9" t="str">
        <f>_xlfn.XLOOKUP(B279,Nursery_Inventory!B:B,Nursery_Inventory!E:E)</f>
        <v>Delhi</v>
      </c>
      <c r="H279" s="9" t="str">
        <f>_xlfn.XLOOKUP(B279,Plant_Master!A:A,Plant_Master!B:B)</f>
        <v>Orchid</v>
      </c>
      <c r="I279" s="9" t="str">
        <f>_xlfn.XLOOKUP(B279,Plant_Master!A:A,Plant_Master!C:C)</f>
        <v>Flower</v>
      </c>
      <c r="J279" s="9">
        <f>_xlfn.XLOOKUP(B279,Nursery_Inventory!B:B,Nursery_Inventory!C:C)</f>
        <v>239</v>
      </c>
    </row>
    <row r="280" spans="1:10" ht="13.2" x14ac:dyDescent="0.25">
      <c r="A280" s="10">
        <v>3012</v>
      </c>
      <c r="B280" s="10">
        <v>1224</v>
      </c>
      <c r="C280" s="10" t="s">
        <v>25</v>
      </c>
      <c r="D280" s="10">
        <v>11</v>
      </c>
      <c r="E280" s="10">
        <v>404</v>
      </c>
      <c r="F280" s="9">
        <f t="shared" si="4"/>
        <v>4444</v>
      </c>
      <c r="G280" s="9" t="str">
        <f>_xlfn.XLOOKUP(B280,Nursery_Inventory!B:B,Nursery_Inventory!E:E)</f>
        <v>Mumbai</v>
      </c>
      <c r="H280" s="9" t="str">
        <f>_xlfn.XLOOKUP(B280,Plant_Master!A:A,Plant_Master!B:B)</f>
        <v>Cactus</v>
      </c>
      <c r="I280" s="9" t="str">
        <f>_xlfn.XLOOKUP(B280,Plant_Master!A:A,Plant_Master!C:C)</f>
        <v>Medicinal</v>
      </c>
      <c r="J280" s="9">
        <f>_xlfn.XLOOKUP(B280,Nursery_Inventory!B:B,Nursery_Inventory!C:C)</f>
        <v>250</v>
      </c>
    </row>
    <row r="281" spans="1:10" ht="13.2" x14ac:dyDescent="0.25">
      <c r="A281" s="10">
        <v>3236</v>
      </c>
      <c r="B281" s="10">
        <v>1441</v>
      </c>
      <c r="C281" s="10" t="s">
        <v>12</v>
      </c>
      <c r="D281" s="10">
        <v>43</v>
      </c>
      <c r="E281" s="10">
        <v>347</v>
      </c>
      <c r="F281" s="9">
        <f t="shared" si="4"/>
        <v>14921</v>
      </c>
      <c r="G281" s="9" t="str">
        <f>_xlfn.XLOOKUP(B281,Nursery_Inventory!B:B,Nursery_Inventory!E:E)</f>
        <v>Delhi</v>
      </c>
      <c r="H281" s="9" t="str">
        <f>_xlfn.XLOOKUP(B281,Plant_Master!A:A,Plant_Master!B:B)</f>
        <v>Fern</v>
      </c>
      <c r="I281" s="9" t="str">
        <f>_xlfn.XLOOKUP(B281,Plant_Master!A:A,Plant_Master!C:C)</f>
        <v>Flower</v>
      </c>
      <c r="J281" s="9">
        <f>_xlfn.XLOOKUP(B281,Nursery_Inventory!B:B,Nursery_Inventory!C:C)</f>
        <v>235</v>
      </c>
    </row>
    <row r="282" spans="1:10" ht="13.2" x14ac:dyDescent="0.25">
      <c r="A282" s="10">
        <v>3244</v>
      </c>
      <c r="B282" s="10">
        <v>1231</v>
      </c>
      <c r="C282" s="10" t="s">
        <v>25</v>
      </c>
      <c r="D282" s="10">
        <v>16</v>
      </c>
      <c r="E282" s="10">
        <v>272</v>
      </c>
      <c r="F282" s="9">
        <f t="shared" si="4"/>
        <v>4352</v>
      </c>
      <c r="G282" s="9" t="str">
        <f>_xlfn.XLOOKUP(B282,Nursery_Inventory!B:B,Nursery_Inventory!E:E)</f>
        <v>Chennai</v>
      </c>
      <c r="H282" s="9" t="str">
        <f>_xlfn.XLOOKUP(B282,Plant_Master!A:A,Plant_Master!B:B)</f>
        <v>Lily</v>
      </c>
      <c r="I282" s="9" t="str">
        <f>_xlfn.XLOOKUP(B282,Plant_Master!A:A,Plant_Master!C:C)</f>
        <v>Succulent</v>
      </c>
      <c r="J282" s="9">
        <f>_xlfn.XLOOKUP(B282,Nursery_Inventory!B:B,Nursery_Inventory!C:C)</f>
        <v>185</v>
      </c>
    </row>
    <row r="283" spans="1:10" ht="13.2" x14ac:dyDescent="0.25">
      <c r="A283" s="10">
        <v>3169</v>
      </c>
      <c r="B283" s="10">
        <v>1489</v>
      </c>
      <c r="C283" s="10" t="s">
        <v>14</v>
      </c>
      <c r="D283" s="10">
        <v>20</v>
      </c>
      <c r="E283" s="10">
        <v>411</v>
      </c>
      <c r="F283" s="9">
        <f t="shared" si="4"/>
        <v>8220</v>
      </c>
      <c r="G283" s="13" t="s">
        <v>79</v>
      </c>
      <c r="H283" s="9" t="str">
        <f>_xlfn.XLOOKUP(B283,Plant_Master!A:A,Plant_Master!B:B)</f>
        <v>Tulip</v>
      </c>
      <c r="I283" s="9" t="str">
        <f>_xlfn.XLOOKUP(B283,Plant_Master!A:A,Plant_Master!C:C)</f>
        <v>Outdoor</v>
      </c>
      <c r="J283" s="13" t="s">
        <v>73</v>
      </c>
    </row>
    <row r="284" spans="1:10" ht="13.2" x14ac:dyDescent="0.25">
      <c r="A284" s="10">
        <v>3028</v>
      </c>
      <c r="B284" s="10">
        <v>1305</v>
      </c>
      <c r="C284" s="10" t="s">
        <v>14</v>
      </c>
      <c r="D284" s="10">
        <v>22</v>
      </c>
      <c r="E284" s="10">
        <v>197</v>
      </c>
      <c r="F284" s="9">
        <f t="shared" si="4"/>
        <v>4334</v>
      </c>
      <c r="G284" s="9" t="str">
        <f>_xlfn.XLOOKUP(B284,Nursery_Inventory!B:B,Nursery_Inventory!E:E)</f>
        <v>Chennai</v>
      </c>
      <c r="H284" s="9" t="str">
        <f>_xlfn.XLOOKUP(B284,Plant_Master!A:A,Plant_Master!B:B)</f>
        <v>Orchid</v>
      </c>
      <c r="I284" s="9" t="str">
        <f>_xlfn.XLOOKUP(B284,Plant_Master!A:A,Plant_Master!C:C)</f>
        <v>Indoor</v>
      </c>
      <c r="J284" s="9">
        <f>_xlfn.XLOOKUP(B284,Nursery_Inventory!B:B,Nursery_Inventory!C:C)</f>
        <v>478</v>
      </c>
    </row>
    <row r="285" spans="1:10" ht="13.2" x14ac:dyDescent="0.25">
      <c r="A285" s="10">
        <v>3338</v>
      </c>
      <c r="B285" s="10">
        <v>1048</v>
      </c>
      <c r="C285" s="10" t="s">
        <v>12</v>
      </c>
      <c r="D285" s="10">
        <v>15</v>
      </c>
      <c r="E285" s="10">
        <v>150</v>
      </c>
      <c r="F285" s="9">
        <f t="shared" si="4"/>
        <v>2250</v>
      </c>
      <c r="G285" s="9" t="str">
        <f>_xlfn.XLOOKUP(B285,Nursery_Inventory!B:B,Nursery_Inventory!E:E)</f>
        <v>Delhi</v>
      </c>
      <c r="H285" s="9" t="str">
        <f>_xlfn.XLOOKUP(B285,Plant_Master!A:A,Plant_Master!B:B)</f>
        <v>Lily</v>
      </c>
      <c r="I285" s="9" t="str">
        <f>_xlfn.XLOOKUP(B285,Plant_Master!A:A,Plant_Master!C:C)</f>
        <v>Outdoor</v>
      </c>
      <c r="J285" s="9">
        <f>_xlfn.XLOOKUP(B285,Nursery_Inventory!B:B,Nursery_Inventory!C:C)</f>
        <v>218</v>
      </c>
    </row>
    <row r="286" spans="1:10" ht="13.2" x14ac:dyDescent="0.25">
      <c r="A286" s="10">
        <v>3193</v>
      </c>
      <c r="B286" s="10">
        <v>1048</v>
      </c>
      <c r="C286" s="10" t="s">
        <v>25</v>
      </c>
      <c r="D286" s="10">
        <v>4</v>
      </c>
      <c r="E286" s="10">
        <v>167</v>
      </c>
      <c r="F286" s="9">
        <f t="shared" si="4"/>
        <v>668</v>
      </c>
      <c r="G286" s="9" t="str">
        <f>_xlfn.XLOOKUP(B286,Nursery_Inventory!B:B,Nursery_Inventory!E:E)</f>
        <v>Delhi</v>
      </c>
      <c r="H286" s="9" t="str">
        <f>_xlfn.XLOOKUP(B286,Plant_Master!A:A,Plant_Master!B:B)</f>
        <v>Lily</v>
      </c>
      <c r="I286" s="9" t="str">
        <f>_xlfn.XLOOKUP(B286,Plant_Master!A:A,Plant_Master!C:C)</f>
        <v>Outdoor</v>
      </c>
      <c r="J286" s="9">
        <f>_xlfn.XLOOKUP(B286,Nursery_Inventory!B:B,Nursery_Inventory!C:C)</f>
        <v>218</v>
      </c>
    </row>
    <row r="287" spans="1:10" ht="13.2" x14ac:dyDescent="0.25">
      <c r="A287" s="10">
        <v>3445</v>
      </c>
      <c r="B287" s="10">
        <v>1385</v>
      </c>
      <c r="C287" s="10" t="s">
        <v>14</v>
      </c>
      <c r="D287" s="10">
        <v>20</v>
      </c>
      <c r="E287" s="10">
        <v>83</v>
      </c>
      <c r="F287" s="9">
        <f t="shared" si="4"/>
        <v>1660</v>
      </c>
      <c r="G287" s="13" t="s">
        <v>79</v>
      </c>
      <c r="H287" s="9" t="str">
        <f>_xlfn.XLOOKUP(B287,Plant_Master!A:A,Plant_Master!B:B)</f>
        <v>Jasmine</v>
      </c>
      <c r="I287" s="9" t="str">
        <f>_xlfn.XLOOKUP(B287,Plant_Master!A:A,Plant_Master!C:C)</f>
        <v>Outdoor</v>
      </c>
      <c r="J287" s="13" t="s">
        <v>73</v>
      </c>
    </row>
    <row r="288" spans="1:10" ht="13.2" x14ac:dyDescent="0.25">
      <c r="A288" s="10">
        <v>3276</v>
      </c>
      <c r="B288" s="10">
        <v>1344</v>
      </c>
      <c r="C288" s="10" t="s">
        <v>7</v>
      </c>
      <c r="D288" s="10">
        <v>19</v>
      </c>
      <c r="E288" s="10">
        <v>198</v>
      </c>
      <c r="F288" s="9">
        <f t="shared" si="4"/>
        <v>3762</v>
      </c>
      <c r="G288" s="13" t="s">
        <v>79</v>
      </c>
      <c r="H288" s="9" t="str">
        <f>_xlfn.XLOOKUP(B288,Plant_Master!A:A,Plant_Master!B:B)</f>
        <v>Aloe</v>
      </c>
      <c r="I288" s="9" t="str">
        <f>_xlfn.XLOOKUP(B288,Plant_Master!A:A,Plant_Master!C:C)</f>
        <v>Outdoor</v>
      </c>
      <c r="J288" s="13" t="s">
        <v>73</v>
      </c>
    </row>
    <row r="289" spans="1:10" ht="13.2" x14ac:dyDescent="0.25">
      <c r="A289" s="10">
        <v>3306</v>
      </c>
      <c r="B289" s="10">
        <v>1488</v>
      </c>
      <c r="C289" s="10" t="s">
        <v>7</v>
      </c>
      <c r="D289" s="10">
        <v>42</v>
      </c>
      <c r="E289" s="10">
        <v>100</v>
      </c>
      <c r="F289" s="9">
        <f t="shared" si="4"/>
        <v>4200</v>
      </c>
      <c r="G289" s="13" t="s">
        <v>79</v>
      </c>
      <c r="H289" s="9" t="str">
        <f>_xlfn.XLOOKUP(B289,Plant_Master!A:A,Plant_Master!B:B)</f>
        <v>Jasmine</v>
      </c>
      <c r="I289" s="9" t="str">
        <f>_xlfn.XLOOKUP(B289,Plant_Master!A:A,Plant_Master!C:C)</f>
        <v>Medicinal</v>
      </c>
      <c r="J289" s="13" t="s">
        <v>73</v>
      </c>
    </row>
    <row r="290" spans="1:10" ht="13.2" x14ac:dyDescent="0.25">
      <c r="A290" s="10">
        <v>3473</v>
      </c>
      <c r="B290" s="10">
        <v>1397</v>
      </c>
      <c r="C290" s="10" t="s">
        <v>12</v>
      </c>
      <c r="D290" s="10">
        <v>25</v>
      </c>
      <c r="E290" s="10">
        <v>166</v>
      </c>
      <c r="F290" s="9">
        <f t="shared" si="4"/>
        <v>4150</v>
      </c>
      <c r="G290" s="9" t="str">
        <f>_xlfn.XLOOKUP(B290,Nursery_Inventory!B:B,Nursery_Inventory!E:E)</f>
        <v>Chennai</v>
      </c>
      <c r="H290" s="9" t="str">
        <f>_xlfn.XLOOKUP(B290,Plant_Master!A:A,Plant_Master!B:B)</f>
        <v>Fern</v>
      </c>
      <c r="I290" s="9" t="str">
        <f>_xlfn.XLOOKUP(B290,Plant_Master!A:A,Plant_Master!C:C)</f>
        <v>Medicinal</v>
      </c>
      <c r="J290" s="9">
        <f>_xlfn.XLOOKUP(B290,Nursery_Inventory!B:B,Nursery_Inventory!C:C)</f>
        <v>38</v>
      </c>
    </row>
    <row r="291" spans="1:10" ht="13.2" x14ac:dyDescent="0.25">
      <c r="A291" s="10">
        <v>3231</v>
      </c>
      <c r="B291" s="10">
        <v>1081</v>
      </c>
      <c r="C291" s="10" t="s">
        <v>12</v>
      </c>
      <c r="D291" s="10">
        <v>47</v>
      </c>
      <c r="E291" s="10">
        <v>359</v>
      </c>
      <c r="F291" s="9">
        <f t="shared" si="4"/>
        <v>16873</v>
      </c>
      <c r="G291" s="9" t="str">
        <f>_xlfn.XLOOKUP(B291,Nursery_Inventory!B:B,Nursery_Inventory!E:E)</f>
        <v>Delhi</v>
      </c>
      <c r="H291" s="9" t="str">
        <f>_xlfn.XLOOKUP(B291,Plant_Master!A:A,Plant_Master!B:B)</f>
        <v>Fern</v>
      </c>
      <c r="I291" s="9" t="str">
        <f>_xlfn.XLOOKUP(B291,Plant_Master!A:A,Plant_Master!C:C)</f>
        <v>Outdoor</v>
      </c>
      <c r="J291" s="9">
        <f>_xlfn.XLOOKUP(B291,Nursery_Inventory!B:B,Nursery_Inventory!C:C)</f>
        <v>211</v>
      </c>
    </row>
    <row r="292" spans="1:10" ht="13.2" x14ac:dyDescent="0.25">
      <c r="A292" s="10">
        <v>3381</v>
      </c>
      <c r="B292" s="10">
        <v>1105</v>
      </c>
      <c r="C292" s="10" t="s">
        <v>7</v>
      </c>
      <c r="D292" s="10">
        <v>1</v>
      </c>
      <c r="E292" s="10">
        <v>127</v>
      </c>
      <c r="F292" s="9">
        <f t="shared" si="4"/>
        <v>127</v>
      </c>
      <c r="G292" s="9" t="str">
        <f>_xlfn.XLOOKUP(B292,Nursery_Inventory!B:B,Nursery_Inventory!E:E)</f>
        <v>Pune</v>
      </c>
      <c r="H292" s="9" t="str">
        <f>_xlfn.XLOOKUP(B292,Plant_Master!A:A,Plant_Master!B:B)</f>
        <v>Fern</v>
      </c>
      <c r="I292" s="9" t="str">
        <f>_xlfn.XLOOKUP(B292,Plant_Master!A:A,Plant_Master!C:C)</f>
        <v>Flower</v>
      </c>
      <c r="J292" s="9">
        <f>_xlfn.XLOOKUP(B292,Nursery_Inventory!B:B,Nursery_Inventory!C:C)</f>
        <v>231</v>
      </c>
    </row>
    <row r="293" spans="1:10" ht="13.2" x14ac:dyDescent="0.25">
      <c r="A293" s="10">
        <v>3441</v>
      </c>
      <c r="B293" s="10">
        <v>1415</v>
      </c>
      <c r="C293" s="10" t="s">
        <v>14</v>
      </c>
      <c r="D293" s="10">
        <v>37</v>
      </c>
      <c r="E293" s="10">
        <v>111</v>
      </c>
      <c r="F293" s="9">
        <f t="shared" si="4"/>
        <v>4107</v>
      </c>
      <c r="G293" s="13" t="s">
        <v>79</v>
      </c>
      <c r="H293" s="9" t="str">
        <f>_xlfn.XLOOKUP(B293,Plant_Master!A:A,Plant_Master!B:B)</f>
        <v>Cactus</v>
      </c>
      <c r="I293" s="9" t="str">
        <f>_xlfn.XLOOKUP(B293,Plant_Master!A:A,Plant_Master!C:C)</f>
        <v>Indoor</v>
      </c>
      <c r="J293" s="13" t="s">
        <v>73</v>
      </c>
    </row>
    <row r="294" spans="1:10" ht="13.2" x14ac:dyDescent="0.25">
      <c r="A294" s="10">
        <v>3070</v>
      </c>
      <c r="B294" s="10">
        <v>1494</v>
      </c>
      <c r="C294" s="10" t="s">
        <v>25</v>
      </c>
      <c r="D294" s="10">
        <v>18</v>
      </c>
      <c r="E294" s="10">
        <v>105</v>
      </c>
      <c r="F294" s="9">
        <f t="shared" si="4"/>
        <v>1890</v>
      </c>
      <c r="G294" s="9" t="str">
        <f>_xlfn.XLOOKUP(B294,Nursery_Inventory!B:B,Nursery_Inventory!E:E)</f>
        <v>Chennai</v>
      </c>
      <c r="H294" s="9" t="str">
        <f>_xlfn.XLOOKUP(B294,Plant_Master!A:A,Plant_Master!B:B)</f>
        <v>Aloe</v>
      </c>
      <c r="I294" s="9" t="str">
        <f>_xlfn.XLOOKUP(B294,Plant_Master!A:A,Plant_Master!C:C)</f>
        <v>Outdoor</v>
      </c>
      <c r="J294" s="9">
        <f>_xlfn.XLOOKUP(B294,Nursery_Inventory!B:B,Nursery_Inventory!C:C)</f>
        <v>360</v>
      </c>
    </row>
    <row r="295" spans="1:10" ht="13.2" x14ac:dyDescent="0.25">
      <c r="A295" s="10">
        <v>3002</v>
      </c>
      <c r="B295" s="10">
        <v>1108</v>
      </c>
      <c r="C295" s="10" t="s">
        <v>7</v>
      </c>
      <c r="D295" s="10">
        <v>42</v>
      </c>
      <c r="E295" s="10">
        <v>350</v>
      </c>
      <c r="F295" s="9">
        <f t="shared" si="4"/>
        <v>14700</v>
      </c>
      <c r="G295" s="9" t="str">
        <f>_xlfn.XLOOKUP(B295,Nursery_Inventory!B:B,Nursery_Inventory!E:E)</f>
        <v>Delhi</v>
      </c>
      <c r="H295" s="9" t="str">
        <f>_xlfn.XLOOKUP(B295,Plant_Master!A:A,Plant_Master!B:B)</f>
        <v>Fern</v>
      </c>
      <c r="I295" s="9" t="str">
        <f>_xlfn.XLOOKUP(B295,Plant_Master!A:A,Plant_Master!C:C)</f>
        <v>Outdoor</v>
      </c>
      <c r="J295" s="9">
        <f>_xlfn.XLOOKUP(B295,Nursery_Inventory!B:B,Nursery_Inventory!C:C)</f>
        <v>165</v>
      </c>
    </row>
    <row r="296" spans="1:10" ht="13.2" x14ac:dyDescent="0.25">
      <c r="A296" s="10">
        <v>3325</v>
      </c>
      <c r="B296" s="10">
        <v>1304</v>
      </c>
      <c r="C296" s="10" t="s">
        <v>12</v>
      </c>
      <c r="D296" s="10">
        <v>10</v>
      </c>
      <c r="E296" s="10">
        <v>408</v>
      </c>
      <c r="F296" s="9">
        <f t="shared" si="4"/>
        <v>4080</v>
      </c>
      <c r="G296" s="13" t="s">
        <v>79</v>
      </c>
      <c r="H296" s="9" t="str">
        <f>_xlfn.XLOOKUP(B296,Plant_Master!A:A,Plant_Master!B:B)</f>
        <v>Bamboo</v>
      </c>
      <c r="I296" s="9" t="str">
        <f>_xlfn.XLOOKUP(B296,Plant_Master!A:A,Plant_Master!C:C)</f>
        <v>Medicinal</v>
      </c>
      <c r="J296" s="13" t="s">
        <v>73</v>
      </c>
    </row>
    <row r="297" spans="1:10" ht="13.2" x14ac:dyDescent="0.25">
      <c r="A297" s="10">
        <v>3406</v>
      </c>
      <c r="B297" s="10">
        <v>1188</v>
      </c>
      <c r="C297" s="10" t="s">
        <v>25</v>
      </c>
      <c r="D297" s="10">
        <v>16</v>
      </c>
      <c r="E297" s="10">
        <v>360</v>
      </c>
      <c r="F297" s="9">
        <f t="shared" si="4"/>
        <v>5760</v>
      </c>
      <c r="G297" s="13" t="s">
        <v>79</v>
      </c>
      <c r="H297" s="9" t="str">
        <f>_xlfn.XLOOKUP(B297,Plant_Master!A:A,Plant_Master!B:B)</f>
        <v>Jasmine</v>
      </c>
      <c r="I297" s="9" t="str">
        <f>_xlfn.XLOOKUP(B297,Plant_Master!A:A,Plant_Master!C:C)</f>
        <v>Outdoor</v>
      </c>
      <c r="J297" s="13" t="s">
        <v>73</v>
      </c>
    </row>
    <row r="298" spans="1:10" ht="13.2" x14ac:dyDescent="0.25">
      <c r="A298" s="10">
        <v>3024</v>
      </c>
      <c r="B298" s="10">
        <v>1083</v>
      </c>
      <c r="C298" s="10" t="s">
        <v>9</v>
      </c>
      <c r="D298" s="10">
        <v>16</v>
      </c>
      <c r="E298" s="10">
        <v>250</v>
      </c>
      <c r="F298" s="9">
        <f t="shared" si="4"/>
        <v>4000</v>
      </c>
      <c r="G298" s="13" t="s">
        <v>79</v>
      </c>
      <c r="H298" s="9" t="str">
        <f>_xlfn.XLOOKUP(B298,Plant_Master!A:A,Plant_Master!B:B)</f>
        <v>Bamboo</v>
      </c>
      <c r="I298" s="9" t="str">
        <f>_xlfn.XLOOKUP(B298,Plant_Master!A:A,Plant_Master!C:C)</f>
        <v>Succulent</v>
      </c>
      <c r="J298" s="13" t="s">
        <v>73</v>
      </c>
    </row>
    <row r="299" spans="1:10" ht="13.2" x14ac:dyDescent="0.25">
      <c r="A299" s="10">
        <v>3264</v>
      </c>
      <c r="B299" s="10">
        <v>1458</v>
      </c>
      <c r="C299" s="10" t="s">
        <v>9</v>
      </c>
      <c r="D299" s="10">
        <v>23</v>
      </c>
      <c r="E299" s="10">
        <v>422</v>
      </c>
      <c r="F299" s="9">
        <f t="shared" si="4"/>
        <v>9706</v>
      </c>
      <c r="G299" s="9" t="str">
        <f>_xlfn.XLOOKUP(B299,Nursery_Inventory!B:B,Nursery_Inventory!E:E)</f>
        <v>Pune</v>
      </c>
      <c r="H299" s="9" t="str">
        <f>_xlfn.XLOOKUP(B299,Plant_Master!A:A,Plant_Master!B:B)</f>
        <v>Jasmine</v>
      </c>
      <c r="I299" s="9" t="str">
        <f>_xlfn.XLOOKUP(B299,Plant_Master!A:A,Plant_Master!C:C)</f>
        <v>Medicinal</v>
      </c>
      <c r="J299" s="9">
        <f>_xlfn.XLOOKUP(B299,Nursery_Inventory!B:B,Nursery_Inventory!C:C)</f>
        <v>227</v>
      </c>
    </row>
    <row r="300" spans="1:10" ht="13.2" x14ac:dyDescent="0.25">
      <c r="A300" s="10">
        <v>3396</v>
      </c>
      <c r="B300" s="10">
        <v>1455</v>
      </c>
      <c r="C300" s="10" t="s">
        <v>12</v>
      </c>
      <c r="D300" s="10">
        <v>37</v>
      </c>
      <c r="E300" s="10">
        <v>107</v>
      </c>
      <c r="F300" s="9">
        <f t="shared" si="4"/>
        <v>3959</v>
      </c>
      <c r="G300" s="13" t="s">
        <v>79</v>
      </c>
      <c r="H300" s="9" t="str">
        <f>_xlfn.XLOOKUP(B300,Plant_Master!A:A,Plant_Master!B:B)</f>
        <v>Cactus</v>
      </c>
      <c r="I300" s="9" t="str">
        <f>_xlfn.XLOOKUP(B300,Plant_Master!A:A,Plant_Master!C:C)</f>
        <v>Medicinal</v>
      </c>
      <c r="J300" s="13" t="s">
        <v>73</v>
      </c>
    </row>
    <row r="301" spans="1:10" ht="13.2" x14ac:dyDescent="0.25">
      <c r="A301" s="10">
        <v>3083</v>
      </c>
      <c r="B301" s="10">
        <v>1034</v>
      </c>
      <c r="C301" s="10" t="s">
        <v>14</v>
      </c>
      <c r="D301" s="10">
        <v>20</v>
      </c>
      <c r="E301" s="10">
        <v>197</v>
      </c>
      <c r="F301" s="9">
        <f t="shared" si="4"/>
        <v>3940</v>
      </c>
      <c r="G301" s="9" t="str">
        <f>_xlfn.XLOOKUP(B301,Nursery_Inventory!B:B,Nursery_Inventory!E:E)</f>
        <v>Chennai</v>
      </c>
      <c r="H301" s="9" t="str">
        <f>_xlfn.XLOOKUP(B301,Plant_Master!A:A,Plant_Master!B:B)</f>
        <v>Aloe</v>
      </c>
      <c r="I301" s="9" t="str">
        <f>_xlfn.XLOOKUP(B301,Plant_Master!A:A,Plant_Master!C:C)</f>
        <v>Succulent</v>
      </c>
      <c r="J301" s="9">
        <f>_xlfn.XLOOKUP(B301,Nursery_Inventory!B:B,Nursery_Inventory!C:C)</f>
        <v>133</v>
      </c>
    </row>
    <row r="302" spans="1:10" ht="13.2" x14ac:dyDescent="0.25">
      <c r="A302" s="10">
        <v>3479</v>
      </c>
      <c r="B302" s="10">
        <v>1458</v>
      </c>
      <c r="C302" s="10" t="s">
        <v>25</v>
      </c>
      <c r="D302" s="10">
        <v>31</v>
      </c>
      <c r="E302" s="10">
        <v>264</v>
      </c>
      <c r="F302" s="9">
        <f t="shared" si="4"/>
        <v>8184</v>
      </c>
      <c r="G302" s="9" t="str">
        <f>_xlfn.XLOOKUP(B302,Nursery_Inventory!B:B,Nursery_Inventory!E:E)</f>
        <v>Pune</v>
      </c>
      <c r="H302" s="9" t="str">
        <f>_xlfn.XLOOKUP(B302,Plant_Master!A:A,Plant_Master!B:B)</f>
        <v>Jasmine</v>
      </c>
      <c r="I302" s="9" t="str">
        <f>_xlfn.XLOOKUP(B302,Plant_Master!A:A,Plant_Master!C:C)</f>
        <v>Medicinal</v>
      </c>
      <c r="J302" s="9">
        <f>_xlfn.XLOOKUP(B302,Nursery_Inventory!B:B,Nursery_Inventory!C:C)</f>
        <v>227</v>
      </c>
    </row>
    <row r="303" spans="1:10" ht="13.2" x14ac:dyDescent="0.25">
      <c r="A303" s="10">
        <v>3250</v>
      </c>
      <c r="B303" s="10">
        <v>1170</v>
      </c>
      <c r="C303" s="10" t="s">
        <v>14</v>
      </c>
      <c r="D303" s="10">
        <v>16</v>
      </c>
      <c r="E303" s="10">
        <v>314</v>
      </c>
      <c r="F303" s="9">
        <f t="shared" si="4"/>
        <v>5024</v>
      </c>
      <c r="G303" s="9" t="str">
        <f>_xlfn.XLOOKUP(B303,Nursery_Inventory!B:B,Nursery_Inventory!E:E)</f>
        <v>Mumbai</v>
      </c>
      <c r="H303" s="9" t="str">
        <f>_xlfn.XLOOKUP(B303,Plant_Master!A:A,Plant_Master!B:B)</f>
        <v>Jasmine</v>
      </c>
      <c r="I303" s="9" t="str">
        <f>_xlfn.XLOOKUP(B303,Plant_Master!A:A,Plant_Master!C:C)</f>
        <v>Outdoor</v>
      </c>
      <c r="J303" s="9">
        <f>_xlfn.XLOOKUP(B303,Nursery_Inventory!B:B,Nursery_Inventory!C:C)</f>
        <v>202</v>
      </c>
    </row>
    <row r="304" spans="1:10" ht="13.2" x14ac:dyDescent="0.25">
      <c r="A304" s="10">
        <v>3380</v>
      </c>
      <c r="B304" s="10">
        <v>1446</v>
      </c>
      <c r="C304" s="10" t="s">
        <v>7</v>
      </c>
      <c r="D304" s="10">
        <v>30</v>
      </c>
      <c r="E304" s="10">
        <v>288</v>
      </c>
      <c r="F304" s="9">
        <f t="shared" si="4"/>
        <v>8640</v>
      </c>
      <c r="G304" s="9" t="str">
        <f>_xlfn.XLOOKUP(B304,Nursery_Inventory!B:B,Nursery_Inventory!E:E)</f>
        <v>Pune</v>
      </c>
      <c r="H304" s="9" t="str">
        <f>_xlfn.XLOOKUP(B304,Plant_Master!A:A,Plant_Master!B:B)</f>
        <v>Rose</v>
      </c>
      <c r="I304" s="9" t="str">
        <f>_xlfn.XLOOKUP(B304,Plant_Master!A:A,Plant_Master!C:C)</f>
        <v>Indoor</v>
      </c>
      <c r="J304" s="9">
        <f>_xlfn.XLOOKUP(B304,Nursery_Inventory!B:B,Nursery_Inventory!C:C)</f>
        <v>222</v>
      </c>
    </row>
    <row r="305" spans="1:10" ht="13.2" x14ac:dyDescent="0.25">
      <c r="A305" s="10">
        <v>3071</v>
      </c>
      <c r="B305" s="10">
        <v>1456</v>
      </c>
      <c r="C305" s="10" t="s">
        <v>12</v>
      </c>
      <c r="D305" s="10">
        <v>17</v>
      </c>
      <c r="E305" s="10">
        <v>229</v>
      </c>
      <c r="F305" s="9">
        <f t="shared" si="4"/>
        <v>3893</v>
      </c>
      <c r="G305" s="13" t="s">
        <v>79</v>
      </c>
      <c r="H305" s="9" t="str">
        <f>_xlfn.XLOOKUP(B305,Plant_Master!A:A,Plant_Master!B:B)</f>
        <v>Bamboo</v>
      </c>
      <c r="I305" s="9" t="str">
        <f>_xlfn.XLOOKUP(B305,Plant_Master!A:A,Plant_Master!C:C)</f>
        <v>Medicinal</v>
      </c>
      <c r="J305" s="13" t="s">
        <v>73</v>
      </c>
    </row>
    <row r="306" spans="1:10" ht="13.2" x14ac:dyDescent="0.25">
      <c r="A306" s="10">
        <v>3207</v>
      </c>
      <c r="B306" s="10">
        <v>1468</v>
      </c>
      <c r="C306" s="10" t="s">
        <v>9</v>
      </c>
      <c r="D306" s="10">
        <v>44</v>
      </c>
      <c r="E306" s="10">
        <v>62</v>
      </c>
      <c r="F306" s="9">
        <f t="shared" si="4"/>
        <v>2728</v>
      </c>
      <c r="G306" s="9" t="str">
        <f>_xlfn.XLOOKUP(B306,Nursery_Inventory!B:B,Nursery_Inventory!E:E)</f>
        <v>Pune</v>
      </c>
      <c r="H306" s="9" t="str">
        <f>_xlfn.XLOOKUP(B306,Plant_Master!A:A,Plant_Master!B:B)</f>
        <v>Bamboo</v>
      </c>
      <c r="I306" s="9" t="str">
        <f>_xlfn.XLOOKUP(B306,Plant_Master!A:A,Plant_Master!C:C)</f>
        <v>Succulent</v>
      </c>
      <c r="J306" s="9">
        <f>_xlfn.XLOOKUP(B306,Nursery_Inventory!B:B,Nursery_Inventory!C:C)</f>
        <v>201</v>
      </c>
    </row>
    <row r="307" spans="1:10" ht="13.2" x14ac:dyDescent="0.25">
      <c r="A307" s="10">
        <v>3099</v>
      </c>
      <c r="B307" s="10">
        <v>1117</v>
      </c>
      <c r="C307" s="10" t="s">
        <v>7</v>
      </c>
      <c r="D307" s="10">
        <v>36</v>
      </c>
      <c r="E307" s="10">
        <v>107</v>
      </c>
      <c r="F307" s="9">
        <f t="shared" si="4"/>
        <v>3852</v>
      </c>
      <c r="G307" s="9" t="str">
        <f>_xlfn.XLOOKUP(B307,Nursery_Inventory!B:B,Nursery_Inventory!E:E)</f>
        <v>Chennai</v>
      </c>
      <c r="H307" s="9" t="str">
        <f>_xlfn.XLOOKUP(B307,Plant_Master!A:A,Plant_Master!B:B)</f>
        <v>Lily</v>
      </c>
      <c r="I307" s="9" t="str">
        <f>_xlfn.XLOOKUP(B307,Plant_Master!A:A,Plant_Master!C:C)</f>
        <v>Succulent</v>
      </c>
      <c r="J307" s="9">
        <f>_xlfn.XLOOKUP(B307,Nursery_Inventory!B:B,Nursery_Inventory!C:C)</f>
        <v>299</v>
      </c>
    </row>
    <row r="308" spans="1:10" ht="13.2" x14ac:dyDescent="0.25">
      <c r="A308" s="10">
        <v>3066</v>
      </c>
      <c r="B308" s="10">
        <v>1052</v>
      </c>
      <c r="C308" s="10" t="s">
        <v>9</v>
      </c>
      <c r="D308" s="10">
        <v>13</v>
      </c>
      <c r="E308" s="10">
        <v>74</v>
      </c>
      <c r="F308" s="9">
        <f t="shared" si="4"/>
        <v>962</v>
      </c>
      <c r="G308" s="9" t="str">
        <f>_xlfn.XLOOKUP(B308,Nursery_Inventory!B:B,Nursery_Inventory!E:E)</f>
        <v>Mumbai</v>
      </c>
      <c r="H308" s="9" t="str">
        <f>_xlfn.XLOOKUP(B308,Plant_Master!A:A,Plant_Master!B:B)</f>
        <v>Palm</v>
      </c>
      <c r="I308" s="9" t="str">
        <f>_xlfn.XLOOKUP(B308,Plant_Master!A:A,Plant_Master!C:C)</f>
        <v>Flower</v>
      </c>
      <c r="J308" s="9">
        <f>_xlfn.XLOOKUP(B308,Nursery_Inventory!B:B,Nursery_Inventory!C:C)</f>
        <v>195</v>
      </c>
    </row>
    <row r="309" spans="1:10" ht="13.2" x14ac:dyDescent="0.25">
      <c r="A309" s="10">
        <v>3111</v>
      </c>
      <c r="B309" s="10">
        <v>1393</v>
      </c>
      <c r="C309" s="10" t="s">
        <v>14</v>
      </c>
      <c r="D309" s="10">
        <v>9</v>
      </c>
      <c r="E309" s="10">
        <v>424</v>
      </c>
      <c r="F309" s="9">
        <f t="shared" si="4"/>
        <v>3816</v>
      </c>
      <c r="G309" s="13" t="s">
        <v>79</v>
      </c>
      <c r="H309" s="9" t="str">
        <f>_xlfn.XLOOKUP(B309,Plant_Master!A:A,Plant_Master!B:B)</f>
        <v>Rose</v>
      </c>
      <c r="I309" s="9" t="str">
        <f>_xlfn.XLOOKUP(B309,Plant_Master!A:A,Plant_Master!C:C)</f>
        <v>Succulent</v>
      </c>
      <c r="J309" s="13" t="s">
        <v>73</v>
      </c>
    </row>
    <row r="310" spans="1:10" ht="13.2" x14ac:dyDescent="0.25">
      <c r="A310" s="10">
        <v>3147</v>
      </c>
      <c r="B310" s="10">
        <v>1108</v>
      </c>
      <c r="C310" s="10" t="s">
        <v>12</v>
      </c>
      <c r="D310" s="10">
        <v>9</v>
      </c>
      <c r="E310" s="10">
        <v>473</v>
      </c>
      <c r="F310" s="9">
        <f t="shared" si="4"/>
        <v>4257</v>
      </c>
      <c r="G310" s="9" t="str">
        <f>_xlfn.XLOOKUP(B310,Nursery_Inventory!B:B,Nursery_Inventory!E:E)</f>
        <v>Delhi</v>
      </c>
      <c r="H310" s="9" t="str">
        <f>_xlfn.XLOOKUP(B310,Plant_Master!A:A,Plant_Master!B:B)</f>
        <v>Fern</v>
      </c>
      <c r="I310" s="9" t="str">
        <f>_xlfn.XLOOKUP(B310,Plant_Master!A:A,Plant_Master!C:C)</f>
        <v>Outdoor</v>
      </c>
      <c r="J310" s="9">
        <f>_xlfn.XLOOKUP(B310,Nursery_Inventory!B:B,Nursery_Inventory!C:C)</f>
        <v>165</v>
      </c>
    </row>
    <row r="311" spans="1:10" ht="13.2" x14ac:dyDescent="0.25">
      <c r="A311" s="10">
        <v>3331</v>
      </c>
      <c r="B311" s="10">
        <v>1212</v>
      </c>
      <c r="C311" s="10" t="s">
        <v>12</v>
      </c>
      <c r="D311" s="10">
        <v>15</v>
      </c>
      <c r="E311" s="10">
        <v>336</v>
      </c>
      <c r="F311" s="9">
        <f t="shared" si="4"/>
        <v>5040</v>
      </c>
      <c r="G311" s="9" t="str">
        <f>_xlfn.XLOOKUP(B311,Nursery_Inventory!B:B,Nursery_Inventory!E:E)</f>
        <v>Bangalore</v>
      </c>
      <c r="H311" s="9" t="str">
        <f>_xlfn.XLOOKUP(B311,Plant_Master!A:A,Plant_Master!B:B)</f>
        <v>Jasmine</v>
      </c>
      <c r="I311" s="9" t="str">
        <f>_xlfn.XLOOKUP(B311,Plant_Master!A:A,Plant_Master!C:C)</f>
        <v>Outdoor</v>
      </c>
      <c r="J311" s="9">
        <f>_xlfn.XLOOKUP(B311,Nursery_Inventory!B:B,Nursery_Inventory!C:C)</f>
        <v>34</v>
      </c>
    </row>
    <row r="312" spans="1:10" ht="13.2" x14ac:dyDescent="0.25">
      <c r="A312" s="10">
        <v>3279</v>
      </c>
      <c r="B312" s="10">
        <v>1173</v>
      </c>
      <c r="C312" s="10" t="s">
        <v>12</v>
      </c>
      <c r="D312" s="10">
        <v>8</v>
      </c>
      <c r="E312" s="10">
        <v>467</v>
      </c>
      <c r="F312" s="9">
        <f t="shared" si="4"/>
        <v>3736</v>
      </c>
      <c r="G312" s="13" t="s">
        <v>79</v>
      </c>
      <c r="H312" s="9" t="str">
        <f>_xlfn.XLOOKUP(B312,Plant_Master!A:A,Plant_Master!B:B)</f>
        <v>Tulip</v>
      </c>
      <c r="I312" s="9" t="str">
        <f>_xlfn.XLOOKUP(B312,Plant_Master!A:A,Plant_Master!C:C)</f>
        <v>Succulent</v>
      </c>
      <c r="J312" s="13" t="s">
        <v>73</v>
      </c>
    </row>
    <row r="313" spans="1:10" ht="13.2" x14ac:dyDescent="0.25">
      <c r="A313" s="10">
        <v>3257</v>
      </c>
      <c r="B313" s="10">
        <v>1305</v>
      </c>
      <c r="C313" s="10" t="s">
        <v>7</v>
      </c>
      <c r="D313" s="10">
        <v>49</v>
      </c>
      <c r="E313" s="10">
        <v>76</v>
      </c>
      <c r="F313" s="9">
        <f t="shared" si="4"/>
        <v>3724</v>
      </c>
      <c r="G313" s="9" t="str">
        <f>_xlfn.XLOOKUP(B313,Nursery_Inventory!B:B,Nursery_Inventory!E:E)</f>
        <v>Chennai</v>
      </c>
      <c r="H313" s="9" t="str">
        <f>_xlfn.XLOOKUP(B313,Plant_Master!A:A,Plant_Master!B:B)</f>
        <v>Orchid</v>
      </c>
      <c r="I313" s="9" t="str">
        <f>_xlfn.XLOOKUP(B313,Plant_Master!A:A,Plant_Master!C:C)</f>
        <v>Indoor</v>
      </c>
      <c r="J313" s="9">
        <f>_xlfn.XLOOKUP(B313,Nursery_Inventory!B:B,Nursery_Inventory!C:C)</f>
        <v>478</v>
      </c>
    </row>
    <row r="314" spans="1:10" ht="13.2" x14ac:dyDescent="0.25">
      <c r="A314" s="10">
        <v>3033</v>
      </c>
      <c r="B314" s="10">
        <v>1389</v>
      </c>
      <c r="C314" s="10" t="s">
        <v>14</v>
      </c>
      <c r="D314" s="10">
        <v>16</v>
      </c>
      <c r="E314" s="10">
        <v>67</v>
      </c>
      <c r="F314" s="9">
        <f t="shared" si="4"/>
        <v>1072</v>
      </c>
      <c r="G314" s="9" t="str">
        <f>_xlfn.XLOOKUP(B314,Nursery_Inventory!B:B,Nursery_Inventory!E:E)</f>
        <v>Mumbai</v>
      </c>
      <c r="H314" s="9" t="str">
        <f>_xlfn.XLOOKUP(B314,Plant_Master!A:A,Plant_Master!B:B)</f>
        <v>Aloe</v>
      </c>
      <c r="I314" s="9" t="str">
        <f>_xlfn.XLOOKUP(B314,Plant_Master!A:A,Plant_Master!C:C)</f>
        <v>Outdoor</v>
      </c>
      <c r="J314" s="9">
        <f>_xlfn.XLOOKUP(B314,Nursery_Inventory!B:B,Nursery_Inventory!C:C)</f>
        <v>374</v>
      </c>
    </row>
    <row r="315" spans="1:10" ht="13.2" x14ac:dyDescent="0.25">
      <c r="A315" s="10">
        <v>3131</v>
      </c>
      <c r="B315" s="10">
        <v>1031</v>
      </c>
      <c r="C315" s="10" t="s">
        <v>7</v>
      </c>
      <c r="D315" s="10">
        <v>13</v>
      </c>
      <c r="E315" s="10">
        <v>286</v>
      </c>
      <c r="F315" s="9">
        <f t="shared" si="4"/>
        <v>3718</v>
      </c>
      <c r="G315" s="13" t="s">
        <v>79</v>
      </c>
      <c r="H315" s="9" t="str">
        <f>_xlfn.XLOOKUP(B315,Plant_Master!A:A,Plant_Master!B:B)</f>
        <v>Jasmine</v>
      </c>
      <c r="I315" s="9" t="str">
        <f>_xlfn.XLOOKUP(B315,Plant_Master!A:A,Plant_Master!C:C)</f>
        <v>Succulent</v>
      </c>
      <c r="J315" s="13" t="s">
        <v>73</v>
      </c>
    </row>
    <row r="316" spans="1:10" ht="13.2" x14ac:dyDescent="0.25">
      <c r="A316" s="10">
        <v>3386</v>
      </c>
      <c r="B316" s="10">
        <v>1439</v>
      </c>
      <c r="C316" s="10" t="s">
        <v>12</v>
      </c>
      <c r="D316" s="10">
        <v>34</v>
      </c>
      <c r="E316" s="10">
        <v>108</v>
      </c>
      <c r="F316" s="9">
        <f t="shared" si="4"/>
        <v>3672</v>
      </c>
      <c r="G316" s="13" t="s">
        <v>79</v>
      </c>
      <c r="H316" s="9" t="str">
        <f>_xlfn.XLOOKUP(B316,Plant_Master!A:A,Plant_Master!B:B)</f>
        <v>Palm</v>
      </c>
      <c r="I316" s="9" t="str">
        <f>_xlfn.XLOOKUP(B316,Plant_Master!A:A,Plant_Master!C:C)</f>
        <v>Succulent</v>
      </c>
      <c r="J316" s="13" t="s">
        <v>73</v>
      </c>
    </row>
    <row r="317" spans="1:10" ht="13.2" x14ac:dyDescent="0.25">
      <c r="A317" s="10">
        <v>3125</v>
      </c>
      <c r="B317" s="10">
        <v>1256</v>
      </c>
      <c r="C317" s="10" t="s">
        <v>12</v>
      </c>
      <c r="D317" s="10">
        <v>10</v>
      </c>
      <c r="E317" s="10">
        <v>374</v>
      </c>
      <c r="F317" s="9">
        <f t="shared" si="4"/>
        <v>3740</v>
      </c>
      <c r="G317" s="9" t="str">
        <f>_xlfn.XLOOKUP(B317,Nursery_Inventory!B:B,Nursery_Inventory!E:E)</f>
        <v>Bangalore</v>
      </c>
      <c r="H317" s="9" t="str">
        <f>_xlfn.XLOOKUP(B317,Plant_Master!A:A,Plant_Master!B:B)</f>
        <v>Palm</v>
      </c>
      <c r="I317" s="9" t="str">
        <f>_xlfn.XLOOKUP(B317,Plant_Master!A:A,Plant_Master!C:C)</f>
        <v>Succulent</v>
      </c>
      <c r="J317" s="9">
        <f>_xlfn.XLOOKUP(B317,Nursery_Inventory!B:B,Nursery_Inventory!C:C)</f>
        <v>290</v>
      </c>
    </row>
    <row r="318" spans="1:10" ht="13.2" x14ac:dyDescent="0.25">
      <c r="A318" s="10">
        <v>3427</v>
      </c>
      <c r="B318" s="10">
        <v>1351</v>
      </c>
      <c r="C318" s="10" t="s">
        <v>7</v>
      </c>
      <c r="D318" s="10">
        <v>15</v>
      </c>
      <c r="E318" s="10">
        <v>243</v>
      </c>
      <c r="F318" s="9">
        <f t="shared" si="4"/>
        <v>3645</v>
      </c>
      <c r="G318" s="13" t="s">
        <v>79</v>
      </c>
      <c r="H318" s="9" t="str">
        <f>_xlfn.XLOOKUP(B318,Plant_Master!A:A,Plant_Master!B:B)</f>
        <v>Tulip</v>
      </c>
      <c r="I318" s="9" t="str">
        <f>_xlfn.XLOOKUP(B318,Plant_Master!A:A,Plant_Master!C:C)</f>
        <v>Indoor</v>
      </c>
      <c r="J318" s="13" t="s">
        <v>73</v>
      </c>
    </row>
    <row r="319" spans="1:10" ht="13.2" x14ac:dyDescent="0.25">
      <c r="A319" s="10">
        <v>3476</v>
      </c>
      <c r="B319" s="10">
        <v>1065</v>
      </c>
      <c r="C319" s="10" t="s">
        <v>14</v>
      </c>
      <c r="D319" s="10">
        <v>44</v>
      </c>
      <c r="E319" s="10">
        <v>342</v>
      </c>
      <c r="F319" s="9">
        <f t="shared" si="4"/>
        <v>15048</v>
      </c>
      <c r="G319" s="9" t="str">
        <f>_xlfn.XLOOKUP(B319,Nursery_Inventory!B:B,Nursery_Inventory!E:E)</f>
        <v>Bangalore</v>
      </c>
      <c r="H319" s="9" t="str">
        <f>_xlfn.XLOOKUP(B319,Plant_Master!A:A,Plant_Master!B:B)</f>
        <v>Aloe</v>
      </c>
      <c r="I319" s="9" t="str">
        <f>_xlfn.XLOOKUP(B319,Plant_Master!A:A,Plant_Master!C:C)</f>
        <v>Succulent</v>
      </c>
      <c r="J319" s="9">
        <f>_xlfn.XLOOKUP(B319,Nursery_Inventory!B:B,Nursery_Inventory!C:C)</f>
        <v>131</v>
      </c>
    </row>
    <row r="320" spans="1:10" ht="13.2" x14ac:dyDescent="0.25">
      <c r="A320" s="10">
        <v>3008</v>
      </c>
      <c r="B320" s="10">
        <v>1335</v>
      </c>
      <c r="C320" s="10" t="s">
        <v>12</v>
      </c>
      <c r="D320" s="10">
        <v>45</v>
      </c>
      <c r="E320" s="10">
        <v>80</v>
      </c>
      <c r="F320" s="9">
        <f t="shared" si="4"/>
        <v>3600</v>
      </c>
      <c r="G320" s="9" t="str">
        <f>_xlfn.XLOOKUP(B320,Nursery_Inventory!B:B,Nursery_Inventory!E:E)</f>
        <v>Chennai</v>
      </c>
      <c r="H320" s="9" t="str">
        <f>_xlfn.XLOOKUP(B320,Plant_Master!A:A,Plant_Master!B:B)</f>
        <v>Jasmine</v>
      </c>
      <c r="I320" s="9" t="str">
        <f>_xlfn.XLOOKUP(B320,Plant_Master!A:A,Plant_Master!C:C)</f>
        <v>Indoor</v>
      </c>
      <c r="J320" s="9">
        <f>_xlfn.XLOOKUP(B320,Nursery_Inventory!B:B,Nursery_Inventory!C:C)</f>
        <v>192</v>
      </c>
    </row>
    <row r="321" spans="1:10" ht="13.2" x14ac:dyDescent="0.25">
      <c r="A321" s="10">
        <v>3485</v>
      </c>
      <c r="B321" s="10">
        <v>1468</v>
      </c>
      <c r="C321" s="10" t="s">
        <v>9</v>
      </c>
      <c r="D321" s="10">
        <v>23</v>
      </c>
      <c r="E321" s="10">
        <v>91</v>
      </c>
      <c r="F321" s="9">
        <f t="shared" si="4"/>
        <v>2093</v>
      </c>
      <c r="G321" s="9" t="str">
        <f>_xlfn.XLOOKUP(B321,Nursery_Inventory!B:B,Nursery_Inventory!E:E)</f>
        <v>Pune</v>
      </c>
      <c r="H321" s="9" t="str">
        <f>_xlfn.XLOOKUP(B321,Plant_Master!A:A,Plant_Master!B:B)</f>
        <v>Bamboo</v>
      </c>
      <c r="I321" s="9" t="str">
        <f>_xlfn.XLOOKUP(B321,Plant_Master!A:A,Plant_Master!C:C)</f>
        <v>Succulent</v>
      </c>
      <c r="J321" s="9">
        <f>_xlfn.XLOOKUP(B321,Nursery_Inventory!B:B,Nursery_Inventory!C:C)</f>
        <v>201</v>
      </c>
    </row>
    <row r="322" spans="1:10" ht="13.2" x14ac:dyDescent="0.25">
      <c r="A322" s="10">
        <v>3341</v>
      </c>
      <c r="B322" s="10">
        <v>1348</v>
      </c>
      <c r="C322" s="10" t="s">
        <v>9</v>
      </c>
      <c r="D322" s="10">
        <v>15</v>
      </c>
      <c r="E322" s="10">
        <v>237</v>
      </c>
      <c r="F322" s="9">
        <f t="shared" ref="F322:F385" si="5">D322*E322</f>
        <v>3555</v>
      </c>
      <c r="G322" s="9" t="str">
        <f>_xlfn.XLOOKUP(B322,Nursery_Inventory!B:B,Nursery_Inventory!E:E)</f>
        <v>Chennai</v>
      </c>
      <c r="H322" s="9" t="str">
        <f>_xlfn.XLOOKUP(B322,Plant_Master!A:A,Plant_Master!B:B)</f>
        <v>Tulip</v>
      </c>
      <c r="I322" s="9" t="str">
        <f>_xlfn.XLOOKUP(B322,Plant_Master!A:A,Plant_Master!C:C)</f>
        <v>Succulent</v>
      </c>
      <c r="J322" s="9">
        <f>_xlfn.XLOOKUP(B322,Nursery_Inventory!B:B,Nursery_Inventory!C:C)</f>
        <v>296</v>
      </c>
    </row>
    <row r="323" spans="1:10" ht="13.2" x14ac:dyDescent="0.25">
      <c r="A323" s="10">
        <v>3409</v>
      </c>
      <c r="B323" s="10">
        <v>1154</v>
      </c>
      <c r="C323" s="10" t="s">
        <v>14</v>
      </c>
      <c r="D323" s="10">
        <v>46</v>
      </c>
      <c r="E323" s="10">
        <v>326</v>
      </c>
      <c r="F323" s="9">
        <f t="shared" si="5"/>
        <v>14996</v>
      </c>
      <c r="G323" s="9" t="str">
        <f>_xlfn.XLOOKUP(B323,Nursery_Inventory!B:B,Nursery_Inventory!E:E)</f>
        <v>Pune</v>
      </c>
      <c r="H323" s="9" t="str">
        <f>_xlfn.XLOOKUP(B323,Plant_Master!A:A,Plant_Master!B:B)</f>
        <v>Tulip</v>
      </c>
      <c r="I323" s="9" t="str">
        <f>_xlfn.XLOOKUP(B323,Plant_Master!A:A,Plant_Master!C:C)</f>
        <v>Flower</v>
      </c>
      <c r="J323" s="9">
        <f>_xlfn.XLOOKUP(B323,Nursery_Inventory!B:B,Nursery_Inventory!C:C)</f>
        <v>198</v>
      </c>
    </row>
    <row r="324" spans="1:10" ht="13.2" x14ac:dyDescent="0.25">
      <c r="A324" s="10">
        <v>3291</v>
      </c>
      <c r="B324" s="10">
        <v>1088</v>
      </c>
      <c r="C324" s="10" t="s">
        <v>9</v>
      </c>
      <c r="D324" s="10">
        <v>26</v>
      </c>
      <c r="E324" s="10">
        <v>116</v>
      </c>
      <c r="F324" s="9">
        <f t="shared" si="5"/>
        <v>3016</v>
      </c>
      <c r="G324" s="9" t="str">
        <f>_xlfn.XLOOKUP(B324,Nursery_Inventory!B:B,Nursery_Inventory!E:E)</f>
        <v>Bangalore</v>
      </c>
      <c r="H324" s="9" t="str">
        <f>_xlfn.XLOOKUP(B324,Plant_Master!A:A,Plant_Master!B:B)</f>
        <v>Rose</v>
      </c>
      <c r="I324" s="9" t="str">
        <f>_xlfn.XLOOKUP(B324,Plant_Master!A:A,Plant_Master!C:C)</f>
        <v>Flower</v>
      </c>
      <c r="J324" s="9">
        <f>_xlfn.XLOOKUP(B324,Nursery_Inventory!B:B,Nursery_Inventory!C:C)</f>
        <v>88</v>
      </c>
    </row>
    <row r="325" spans="1:10" ht="13.2" x14ac:dyDescent="0.25">
      <c r="A325" s="10">
        <v>3081</v>
      </c>
      <c r="B325" s="10">
        <v>1486</v>
      </c>
      <c r="C325" s="10" t="s">
        <v>9</v>
      </c>
      <c r="D325" s="10">
        <v>8</v>
      </c>
      <c r="E325" s="10">
        <v>427</v>
      </c>
      <c r="F325" s="9">
        <f t="shared" si="5"/>
        <v>3416</v>
      </c>
      <c r="G325" s="9" t="str">
        <f>_xlfn.XLOOKUP(B325,Nursery_Inventory!B:B,Nursery_Inventory!E:E)</f>
        <v>Mumbai</v>
      </c>
      <c r="H325" s="9" t="str">
        <f>_xlfn.XLOOKUP(B325,Plant_Master!A:A,Plant_Master!B:B)</f>
        <v>Cactus</v>
      </c>
      <c r="I325" s="9" t="str">
        <f>_xlfn.XLOOKUP(B325,Plant_Master!A:A,Plant_Master!C:C)</f>
        <v>Medicinal</v>
      </c>
      <c r="J325" s="9">
        <f>_xlfn.XLOOKUP(B325,Nursery_Inventory!B:B,Nursery_Inventory!C:C)</f>
        <v>478</v>
      </c>
    </row>
    <row r="326" spans="1:10" ht="13.2" x14ac:dyDescent="0.25">
      <c r="A326" s="10">
        <v>3097</v>
      </c>
      <c r="B326" s="10">
        <v>1037</v>
      </c>
      <c r="C326" s="10" t="s">
        <v>12</v>
      </c>
      <c r="D326" s="10">
        <v>25</v>
      </c>
      <c r="E326" s="10">
        <v>335</v>
      </c>
      <c r="F326" s="9">
        <f t="shared" si="5"/>
        <v>8375</v>
      </c>
      <c r="G326" s="9" t="str">
        <f>_xlfn.XLOOKUP(B326,Nursery_Inventory!B:B,Nursery_Inventory!E:E)</f>
        <v>Chennai</v>
      </c>
      <c r="H326" s="9" t="str">
        <f>_xlfn.XLOOKUP(B326,Plant_Master!A:A,Plant_Master!B:B)</f>
        <v>Aloe</v>
      </c>
      <c r="I326" s="9" t="str">
        <f>_xlfn.XLOOKUP(B326,Plant_Master!A:A,Plant_Master!C:C)</f>
        <v>Flower</v>
      </c>
      <c r="J326" s="9">
        <f>_xlfn.XLOOKUP(B326,Nursery_Inventory!B:B,Nursery_Inventory!C:C)</f>
        <v>192</v>
      </c>
    </row>
    <row r="327" spans="1:10" ht="13.2" x14ac:dyDescent="0.25">
      <c r="A327" s="10">
        <v>3102</v>
      </c>
      <c r="B327" s="10">
        <v>1287</v>
      </c>
      <c r="C327" s="10" t="s">
        <v>7</v>
      </c>
      <c r="D327" s="10">
        <v>19</v>
      </c>
      <c r="E327" s="10">
        <v>177</v>
      </c>
      <c r="F327" s="9">
        <f t="shared" si="5"/>
        <v>3363</v>
      </c>
      <c r="G327" s="13" t="s">
        <v>79</v>
      </c>
      <c r="H327" s="9" t="str">
        <f>_xlfn.XLOOKUP(B327,Plant_Master!A:A,Plant_Master!B:B)</f>
        <v>Cactus</v>
      </c>
      <c r="I327" s="9" t="str">
        <f>_xlfn.XLOOKUP(B327,Plant_Master!A:A,Plant_Master!C:C)</f>
        <v>Medicinal</v>
      </c>
      <c r="J327" s="13" t="s">
        <v>73</v>
      </c>
    </row>
    <row r="328" spans="1:10" ht="13.2" x14ac:dyDescent="0.25">
      <c r="A328" s="10">
        <v>3253</v>
      </c>
      <c r="B328" s="10">
        <v>1413</v>
      </c>
      <c r="C328" s="10" t="s">
        <v>9</v>
      </c>
      <c r="D328" s="10">
        <v>25</v>
      </c>
      <c r="E328" s="10">
        <v>133</v>
      </c>
      <c r="F328" s="9">
        <f t="shared" si="5"/>
        <v>3325</v>
      </c>
      <c r="G328" s="9" t="str">
        <f>_xlfn.XLOOKUP(B328,Nursery_Inventory!B:B,Nursery_Inventory!E:E)</f>
        <v>Mumbai</v>
      </c>
      <c r="H328" s="9" t="str">
        <f>_xlfn.XLOOKUP(B328,Plant_Master!A:A,Plant_Master!B:B)</f>
        <v>Aloe</v>
      </c>
      <c r="I328" s="9" t="str">
        <f>_xlfn.XLOOKUP(B328,Plant_Master!A:A,Plant_Master!C:C)</f>
        <v>Succulent</v>
      </c>
      <c r="J328" s="9">
        <f>_xlfn.XLOOKUP(B328,Nursery_Inventory!B:B,Nursery_Inventory!C:C)</f>
        <v>217</v>
      </c>
    </row>
    <row r="329" spans="1:10" ht="13.2" x14ac:dyDescent="0.25">
      <c r="A329" s="10">
        <v>3444</v>
      </c>
      <c r="B329" s="10">
        <v>1037</v>
      </c>
      <c r="C329" s="10" t="s">
        <v>12</v>
      </c>
      <c r="D329" s="10">
        <v>41</v>
      </c>
      <c r="E329" s="10">
        <v>88</v>
      </c>
      <c r="F329" s="9">
        <f t="shared" si="5"/>
        <v>3608</v>
      </c>
      <c r="G329" s="9" t="str">
        <f>_xlfn.XLOOKUP(B329,Nursery_Inventory!B:B,Nursery_Inventory!E:E)</f>
        <v>Chennai</v>
      </c>
      <c r="H329" s="9" t="str">
        <f>_xlfn.XLOOKUP(B329,Plant_Master!A:A,Plant_Master!B:B)</f>
        <v>Aloe</v>
      </c>
      <c r="I329" s="9" t="str">
        <f>_xlfn.XLOOKUP(B329,Plant_Master!A:A,Plant_Master!C:C)</f>
        <v>Flower</v>
      </c>
      <c r="J329" s="9">
        <f>_xlfn.XLOOKUP(B329,Nursery_Inventory!B:B,Nursery_Inventory!C:C)</f>
        <v>192</v>
      </c>
    </row>
    <row r="330" spans="1:10" ht="13.2" x14ac:dyDescent="0.25">
      <c r="A330" s="10">
        <v>3042</v>
      </c>
      <c r="B330" s="10">
        <v>1037</v>
      </c>
      <c r="C330" s="10" t="s">
        <v>7</v>
      </c>
      <c r="D330" s="10">
        <v>34</v>
      </c>
      <c r="E330" s="10">
        <v>90</v>
      </c>
      <c r="F330" s="9">
        <f t="shared" si="5"/>
        <v>3060</v>
      </c>
      <c r="G330" s="9" t="str">
        <f>_xlfn.XLOOKUP(B330,Nursery_Inventory!B:B,Nursery_Inventory!E:E)</f>
        <v>Chennai</v>
      </c>
      <c r="H330" s="9" t="str">
        <f>_xlfn.XLOOKUP(B330,Plant_Master!A:A,Plant_Master!B:B)</f>
        <v>Aloe</v>
      </c>
      <c r="I330" s="9" t="str">
        <f>_xlfn.XLOOKUP(B330,Plant_Master!A:A,Plant_Master!C:C)</f>
        <v>Flower</v>
      </c>
      <c r="J330" s="9">
        <f>_xlfn.XLOOKUP(B330,Nursery_Inventory!B:B,Nursery_Inventory!C:C)</f>
        <v>192</v>
      </c>
    </row>
    <row r="331" spans="1:10" ht="13.2" x14ac:dyDescent="0.25">
      <c r="A331" s="10">
        <v>3177</v>
      </c>
      <c r="B331" s="10">
        <v>1272</v>
      </c>
      <c r="C331" s="10" t="s">
        <v>12</v>
      </c>
      <c r="D331" s="10">
        <v>50</v>
      </c>
      <c r="E331" s="10">
        <v>336</v>
      </c>
      <c r="F331" s="9">
        <f t="shared" si="5"/>
        <v>16800</v>
      </c>
      <c r="G331" s="9" t="str">
        <f>_xlfn.XLOOKUP(B331,Nursery_Inventory!B:B,Nursery_Inventory!E:E)</f>
        <v>Pune</v>
      </c>
      <c r="H331" s="9" t="str">
        <f>_xlfn.XLOOKUP(B331,Plant_Master!A:A,Plant_Master!B:B)</f>
        <v>Orchid</v>
      </c>
      <c r="I331" s="9" t="str">
        <f>_xlfn.XLOOKUP(B331,Plant_Master!A:A,Plant_Master!C:C)</f>
        <v>Outdoor</v>
      </c>
      <c r="J331" s="9">
        <f>_xlfn.XLOOKUP(B331,Nursery_Inventory!B:B,Nursery_Inventory!C:C)</f>
        <v>195</v>
      </c>
    </row>
    <row r="332" spans="1:10" ht="13.2" x14ac:dyDescent="0.25">
      <c r="A332" s="10">
        <v>3249</v>
      </c>
      <c r="B332" s="10">
        <v>1110</v>
      </c>
      <c r="C332" s="10" t="s">
        <v>9</v>
      </c>
      <c r="D332" s="10">
        <v>40</v>
      </c>
      <c r="E332" s="10">
        <v>62</v>
      </c>
      <c r="F332" s="9">
        <f t="shared" si="5"/>
        <v>2480</v>
      </c>
      <c r="G332" s="9" t="str">
        <f>_xlfn.XLOOKUP(B332,Nursery_Inventory!B:B,Nursery_Inventory!E:E)</f>
        <v>Bangalore</v>
      </c>
      <c r="H332" s="9" t="str">
        <f>_xlfn.XLOOKUP(B332,Plant_Master!A:A,Plant_Master!B:B)</f>
        <v>Palm</v>
      </c>
      <c r="I332" s="9" t="str">
        <f>_xlfn.XLOOKUP(B332,Plant_Master!A:A,Plant_Master!C:C)</f>
        <v>Outdoor</v>
      </c>
      <c r="J332" s="9">
        <f>_xlfn.XLOOKUP(B332,Nursery_Inventory!B:B,Nursery_Inventory!C:C)</f>
        <v>273</v>
      </c>
    </row>
    <row r="333" spans="1:10" ht="13.2" x14ac:dyDescent="0.25">
      <c r="A333" s="10">
        <v>3128</v>
      </c>
      <c r="B333" s="10">
        <v>1096</v>
      </c>
      <c r="C333" s="10" t="s">
        <v>7</v>
      </c>
      <c r="D333" s="10">
        <v>12</v>
      </c>
      <c r="E333" s="10">
        <v>270</v>
      </c>
      <c r="F333" s="9">
        <f t="shared" si="5"/>
        <v>3240</v>
      </c>
      <c r="G333" s="13" t="s">
        <v>79</v>
      </c>
      <c r="H333" s="9" t="str">
        <f>_xlfn.XLOOKUP(B333,Plant_Master!A:A,Plant_Master!B:B)</f>
        <v>Rose</v>
      </c>
      <c r="I333" s="9" t="str">
        <f>_xlfn.XLOOKUP(B333,Plant_Master!A:A,Plant_Master!C:C)</f>
        <v>Indoor</v>
      </c>
      <c r="J333" s="13" t="s">
        <v>73</v>
      </c>
    </row>
    <row r="334" spans="1:10" ht="13.2" x14ac:dyDescent="0.25">
      <c r="A334" s="10">
        <v>3143</v>
      </c>
      <c r="B334" s="10">
        <v>1309</v>
      </c>
      <c r="C334" s="10" t="s">
        <v>14</v>
      </c>
      <c r="D334" s="10">
        <v>12</v>
      </c>
      <c r="E334" s="10">
        <v>270</v>
      </c>
      <c r="F334" s="9">
        <f t="shared" si="5"/>
        <v>3240</v>
      </c>
      <c r="G334" s="13" t="s">
        <v>79</v>
      </c>
      <c r="H334" s="9" t="str">
        <f>_xlfn.XLOOKUP(B334,Plant_Master!A:A,Plant_Master!B:B)</f>
        <v>Cactus</v>
      </c>
      <c r="I334" s="9" t="str">
        <f>_xlfn.XLOOKUP(B334,Plant_Master!A:A,Plant_Master!C:C)</f>
        <v>Medicinal</v>
      </c>
      <c r="J334" s="13" t="s">
        <v>73</v>
      </c>
    </row>
    <row r="335" spans="1:10" ht="13.2" x14ac:dyDescent="0.25">
      <c r="A335" s="10">
        <v>3312</v>
      </c>
      <c r="B335" s="10">
        <v>1140</v>
      </c>
      <c r="C335" s="10" t="s">
        <v>7</v>
      </c>
      <c r="D335" s="10">
        <v>45</v>
      </c>
      <c r="E335" s="10">
        <v>72</v>
      </c>
      <c r="F335" s="9">
        <f t="shared" si="5"/>
        <v>3240</v>
      </c>
      <c r="G335" s="13" t="s">
        <v>79</v>
      </c>
      <c r="H335" s="9" t="str">
        <f>_xlfn.XLOOKUP(B335,Plant_Master!A:A,Plant_Master!B:B)</f>
        <v>Cactus</v>
      </c>
      <c r="I335" s="9" t="str">
        <f>_xlfn.XLOOKUP(B335,Plant_Master!A:A,Plant_Master!C:C)</f>
        <v>Succulent</v>
      </c>
      <c r="J335" s="13" t="s">
        <v>73</v>
      </c>
    </row>
    <row r="336" spans="1:10" ht="13.2" x14ac:dyDescent="0.25">
      <c r="A336" s="10">
        <v>3148</v>
      </c>
      <c r="B336" s="10">
        <v>1228</v>
      </c>
      <c r="C336" s="10" t="s">
        <v>14</v>
      </c>
      <c r="D336" s="10">
        <v>14</v>
      </c>
      <c r="E336" s="10">
        <v>231</v>
      </c>
      <c r="F336" s="9">
        <f t="shared" si="5"/>
        <v>3234</v>
      </c>
      <c r="G336" s="13" t="s">
        <v>79</v>
      </c>
      <c r="H336" s="9" t="str">
        <f>_xlfn.XLOOKUP(B336,Plant_Master!A:A,Plant_Master!B:B)</f>
        <v>Rose</v>
      </c>
      <c r="I336" s="9" t="str">
        <f>_xlfn.XLOOKUP(B336,Plant_Master!A:A,Plant_Master!C:C)</f>
        <v>Medicinal</v>
      </c>
      <c r="J336" s="13" t="s">
        <v>73</v>
      </c>
    </row>
    <row r="337" spans="1:10" ht="13.2" x14ac:dyDescent="0.25">
      <c r="A337" s="10">
        <v>3205</v>
      </c>
      <c r="B337" s="10">
        <v>1257</v>
      </c>
      <c r="C337" s="10" t="s">
        <v>14</v>
      </c>
      <c r="D337" s="10">
        <v>12</v>
      </c>
      <c r="E337" s="10">
        <v>416</v>
      </c>
      <c r="F337" s="9">
        <f t="shared" si="5"/>
        <v>4992</v>
      </c>
      <c r="G337" s="9" t="str">
        <f>_xlfn.XLOOKUP(B337,Nursery_Inventory!B:B,Nursery_Inventory!E:E)</f>
        <v>Pune</v>
      </c>
      <c r="H337" s="9" t="str">
        <f>_xlfn.XLOOKUP(B337,Plant_Master!A:A,Plant_Master!B:B)</f>
        <v>Jasmine</v>
      </c>
      <c r="I337" s="9" t="str">
        <f>_xlfn.XLOOKUP(B337,Plant_Master!A:A,Plant_Master!C:C)</f>
        <v>Flower</v>
      </c>
      <c r="J337" s="9">
        <f>_xlfn.XLOOKUP(B337,Nursery_Inventory!B:B,Nursery_Inventory!C:C)</f>
        <v>187</v>
      </c>
    </row>
    <row r="338" spans="1:10" ht="13.2" x14ac:dyDescent="0.25">
      <c r="A338" s="10">
        <v>3475</v>
      </c>
      <c r="B338" s="10">
        <v>1096</v>
      </c>
      <c r="C338" s="10" t="s">
        <v>9</v>
      </c>
      <c r="D338" s="10">
        <v>20</v>
      </c>
      <c r="E338" s="10">
        <v>160</v>
      </c>
      <c r="F338" s="9">
        <f t="shared" si="5"/>
        <v>3200</v>
      </c>
      <c r="G338" s="13" t="s">
        <v>79</v>
      </c>
      <c r="H338" s="9" t="str">
        <f>_xlfn.XLOOKUP(B338,Plant_Master!A:A,Plant_Master!B:B)</f>
        <v>Rose</v>
      </c>
      <c r="I338" s="9" t="str">
        <f>_xlfn.XLOOKUP(B338,Plant_Master!A:A,Plant_Master!C:C)</f>
        <v>Indoor</v>
      </c>
      <c r="J338" s="13" t="s">
        <v>73</v>
      </c>
    </row>
    <row r="339" spans="1:10" ht="13.2" x14ac:dyDescent="0.25">
      <c r="A339" s="10">
        <v>3072</v>
      </c>
      <c r="B339" s="10">
        <v>1257</v>
      </c>
      <c r="C339" s="10" t="s">
        <v>7</v>
      </c>
      <c r="D339" s="10">
        <v>17</v>
      </c>
      <c r="E339" s="10">
        <v>226</v>
      </c>
      <c r="F339" s="9">
        <f t="shared" si="5"/>
        <v>3842</v>
      </c>
      <c r="G339" s="9" t="str">
        <f>_xlfn.XLOOKUP(B339,Nursery_Inventory!B:B,Nursery_Inventory!E:E)</f>
        <v>Pune</v>
      </c>
      <c r="H339" s="9" t="str">
        <f>_xlfn.XLOOKUP(B339,Plant_Master!A:A,Plant_Master!B:B)</f>
        <v>Jasmine</v>
      </c>
      <c r="I339" s="9" t="str">
        <f>_xlfn.XLOOKUP(B339,Plant_Master!A:A,Plant_Master!C:C)</f>
        <v>Flower</v>
      </c>
      <c r="J339" s="9">
        <f>_xlfn.XLOOKUP(B339,Nursery_Inventory!B:B,Nursery_Inventory!C:C)</f>
        <v>187</v>
      </c>
    </row>
    <row r="340" spans="1:10" ht="13.2" x14ac:dyDescent="0.25">
      <c r="A340" s="10">
        <v>3261</v>
      </c>
      <c r="B340" s="10">
        <v>1133</v>
      </c>
      <c r="C340" s="10" t="s">
        <v>12</v>
      </c>
      <c r="D340" s="10">
        <v>28</v>
      </c>
      <c r="E340" s="10">
        <v>387</v>
      </c>
      <c r="F340" s="9">
        <f t="shared" si="5"/>
        <v>10836</v>
      </c>
      <c r="G340" s="9" t="str">
        <f>_xlfn.XLOOKUP(B340,Nursery_Inventory!B:B,Nursery_Inventory!E:E)</f>
        <v>Pune</v>
      </c>
      <c r="H340" s="9" t="str">
        <f>_xlfn.XLOOKUP(B340,Plant_Master!A:A,Plant_Master!B:B)</f>
        <v>Orchid</v>
      </c>
      <c r="I340" s="9" t="str">
        <f>_xlfn.XLOOKUP(B340,Plant_Master!A:A,Plant_Master!C:C)</f>
        <v>Flower</v>
      </c>
      <c r="J340" s="9">
        <f>_xlfn.XLOOKUP(B340,Nursery_Inventory!B:B,Nursery_Inventory!C:C)</f>
        <v>155</v>
      </c>
    </row>
    <row r="341" spans="1:10" ht="13.2" x14ac:dyDescent="0.25">
      <c r="A341" s="10">
        <v>3496</v>
      </c>
      <c r="B341" s="10">
        <v>1492</v>
      </c>
      <c r="C341" s="10" t="s">
        <v>12</v>
      </c>
      <c r="D341" s="10">
        <v>8</v>
      </c>
      <c r="E341" s="10">
        <v>393</v>
      </c>
      <c r="F341" s="9">
        <f t="shared" si="5"/>
        <v>3144</v>
      </c>
      <c r="G341" s="9" t="str">
        <f>_xlfn.XLOOKUP(B341,Nursery_Inventory!B:B,Nursery_Inventory!E:E)</f>
        <v>Chennai</v>
      </c>
      <c r="H341" s="9" t="str">
        <f>_xlfn.XLOOKUP(B341,Plant_Master!A:A,Plant_Master!B:B)</f>
        <v>Rose</v>
      </c>
      <c r="I341" s="9" t="str">
        <f>_xlfn.XLOOKUP(B341,Plant_Master!A:A,Plant_Master!C:C)</f>
        <v>Indoor</v>
      </c>
      <c r="J341" s="9">
        <f>_xlfn.XLOOKUP(B341,Nursery_Inventory!B:B,Nursery_Inventory!C:C)</f>
        <v>341</v>
      </c>
    </row>
    <row r="342" spans="1:10" ht="13.2" x14ac:dyDescent="0.25">
      <c r="A342" s="10">
        <v>3377</v>
      </c>
      <c r="B342" s="10">
        <v>1192</v>
      </c>
      <c r="C342" s="10" t="s">
        <v>7</v>
      </c>
      <c r="D342" s="10">
        <v>38</v>
      </c>
      <c r="E342" s="10">
        <v>152</v>
      </c>
      <c r="F342" s="9">
        <f t="shared" si="5"/>
        <v>5776</v>
      </c>
      <c r="G342" s="9" t="str">
        <f>_xlfn.XLOOKUP(B342,Nursery_Inventory!B:B,Nursery_Inventory!E:E)</f>
        <v>Delhi</v>
      </c>
      <c r="H342" s="9" t="str">
        <f>_xlfn.XLOOKUP(B342,Plant_Master!A:A,Plant_Master!B:B)</f>
        <v>Aloe</v>
      </c>
      <c r="I342" s="9" t="str">
        <f>_xlfn.XLOOKUP(B342,Plant_Master!A:A,Plant_Master!C:C)</f>
        <v>Flower</v>
      </c>
      <c r="J342" s="9">
        <f>_xlfn.XLOOKUP(B342,Nursery_Inventory!B:B,Nursery_Inventory!C:C)</f>
        <v>157</v>
      </c>
    </row>
    <row r="343" spans="1:10" ht="13.2" x14ac:dyDescent="0.25">
      <c r="A343" s="10">
        <v>3347</v>
      </c>
      <c r="B343" s="10">
        <v>1042</v>
      </c>
      <c r="C343" s="10" t="s">
        <v>14</v>
      </c>
      <c r="D343" s="10">
        <v>41</v>
      </c>
      <c r="E343" s="10">
        <v>75</v>
      </c>
      <c r="F343" s="9">
        <f t="shared" si="5"/>
        <v>3075</v>
      </c>
      <c r="G343" s="9" t="str">
        <f>_xlfn.XLOOKUP(B343,Nursery_Inventory!B:B,Nursery_Inventory!E:E)</f>
        <v>Chennai</v>
      </c>
      <c r="H343" s="9" t="str">
        <f>_xlfn.XLOOKUP(B343,Plant_Master!A:A,Plant_Master!B:B)</f>
        <v>Cactus</v>
      </c>
      <c r="I343" s="9" t="str">
        <f>_xlfn.XLOOKUP(B343,Plant_Master!A:A,Plant_Master!C:C)</f>
        <v>Indoor</v>
      </c>
      <c r="J343" s="9">
        <f>_xlfn.XLOOKUP(B343,Nursery_Inventory!B:B,Nursery_Inventory!C:C)</f>
        <v>426</v>
      </c>
    </row>
    <row r="344" spans="1:10" ht="13.2" x14ac:dyDescent="0.25">
      <c r="A344" s="10">
        <v>3101</v>
      </c>
      <c r="B344" s="10">
        <v>1133</v>
      </c>
      <c r="C344" s="10" t="s">
        <v>25</v>
      </c>
      <c r="D344" s="10">
        <v>5</v>
      </c>
      <c r="E344" s="10">
        <v>339</v>
      </c>
      <c r="F344" s="9">
        <f t="shared" si="5"/>
        <v>1695</v>
      </c>
      <c r="G344" s="9" t="str">
        <f>_xlfn.XLOOKUP(B344,Nursery_Inventory!B:B,Nursery_Inventory!E:E)</f>
        <v>Pune</v>
      </c>
      <c r="H344" s="9" t="str">
        <f>_xlfn.XLOOKUP(B344,Plant_Master!A:A,Plant_Master!B:B)</f>
        <v>Orchid</v>
      </c>
      <c r="I344" s="9" t="str">
        <f>_xlfn.XLOOKUP(B344,Plant_Master!A:A,Plant_Master!C:C)</f>
        <v>Flower</v>
      </c>
      <c r="J344" s="9">
        <f>_xlfn.XLOOKUP(B344,Nursery_Inventory!B:B,Nursery_Inventory!C:C)</f>
        <v>155</v>
      </c>
    </row>
    <row r="345" spans="1:10" ht="13.2" x14ac:dyDescent="0.25">
      <c r="A345" s="10">
        <v>3019</v>
      </c>
      <c r="B345" s="10">
        <v>1248</v>
      </c>
      <c r="C345" s="10" t="s">
        <v>9</v>
      </c>
      <c r="D345" s="10">
        <v>16</v>
      </c>
      <c r="E345" s="10">
        <v>258</v>
      </c>
      <c r="F345" s="9">
        <f t="shared" si="5"/>
        <v>4128</v>
      </c>
      <c r="G345" s="9" t="str">
        <f>_xlfn.XLOOKUP(B345,Nursery_Inventory!B:B,Nursery_Inventory!E:E)</f>
        <v>Mumbai</v>
      </c>
      <c r="H345" s="9" t="str">
        <f>_xlfn.XLOOKUP(B345,Plant_Master!A:A,Plant_Master!B:B)</f>
        <v>Aloe</v>
      </c>
      <c r="I345" s="9" t="str">
        <f>_xlfn.XLOOKUP(B345,Plant_Master!A:A,Plant_Master!C:C)</f>
        <v>Flower</v>
      </c>
      <c r="J345" s="9">
        <f>_xlfn.XLOOKUP(B345,Nursery_Inventory!B:B,Nursery_Inventory!C:C)</f>
        <v>179</v>
      </c>
    </row>
    <row r="346" spans="1:10" ht="13.2" x14ac:dyDescent="0.25">
      <c r="A346" s="10">
        <v>3187</v>
      </c>
      <c r="B346" s="10">
        <v>1390</v>
      </c>
      <c r="C346" s="10" t="s">
        <v>9</v>
      </c>
      <c r="D346" s="10">
        <v>35</v>
      </c>
      <c r="E346" s="10">
        <v>59</v>
      </c>
      <c r="F346" s="9">
        <f t="shared" si="5"/>
        <v>2065</v>
      </c>
      <c r="G346" s="9" t="str">
        <f>_xlfn.XLOOKUP(B346,Nursery_Inventory!B:B,Nursery_Inventory!E:E)</f>
        <v>Chennai</v>
      </c>
      <c r="H346" s="9" t="str">
        <f>_xlfn.XLOOKUP(B346,Plant_Master!A:A,Plant_Master!B:B)</f>
        <v>Tulip</v>
      </c>
      <c r="I346" s="9" t="str">
        <f>_xlfn.XLOOKUP(B346,Plant_Master!A:A,Plant_Master!C:C)</f>
        <v>Flower</v>
      </c>
      <c r="J346" s="9">
        <f>_xlfn.XLOOKUP(B346,Nursery_Inventory!B:B,Nursery_Inventory!C:C)</f>
        <v>175</v>
      </c>
    </row>
    <row r="347" spans="1:10" ht="13.2" x14ac:dyDescent="0.25">
      <c r="A347" s="10">
        <v>3478</v>
      </c>
      <c r="B347" s="10">
        <v>1192</v>
      </c>
      <c r="C347" s="10" t="s">
        <v>7</v>
      </c>
      <c r="D347" s="10">
        <v>6</v>
      </c>
      <c r="E347" s="10">
        <v>224</v>
      </c>
      <c r="F347" s="9">
        <f t="shared" si="5"/>
        <v>1344</v>
      </c>
      <c r="G347" s="9" t="str">
        <f>_xlfn.XLOOKUP(B347,Nursery_Inventory!B:B,Nursery_Inventory!E:E)</f>
        <v>Delhi</v>
      </c>
      <c r="H347" s="9" t="str">
        <f>_xlfn.XLOOKUP(B347,Plant_Master!A:A,Plant_Master!B:B)</f>
        <v>Aloe</v>
      </c>
      <c r="I347" s="9" t="str">
        <f>_xlfn.XLOOKUP(B347,Plant_Master!A:A,Plant_Master!C:C)</f>
        <v>Flower</v>
      </c>
      <c r="J347" s="9">
        <f>_xlfn.XLOOKUP(B347,Nursery_Inventory!B:B,Nursery_Inventory!C:C)</f>
        <v>157</v>
      </c>
    </row>
    <row r="348" spans="1:10" ht="13.2" x14ac:dyDescent="0.25">
      <c r="A348" s="10">
        <v>3223</v>
      </c>
      <c r="B348" s="10">
        <v>1133</v>
      </c>
      <c r="C348" s="10" t="s">
        <v>12</v>
      </c>
      <c r="D348" s="10">
        <v>6</v>
      </c>
      <c r="E348" s="10">
        <v>118</v>
      </c>
      <c r="F348" s="9">
        <f t="shared" si="5"/>
        <v>708</v>
      </c>
      <c r="G348" s="9" t="str">
        <f>_xlfn.XLOOKUP(B348,Nursery_Inventory!B:B,Nursery_Inventory!E:E)</f>
        <v>Pune</v>
      </c>
      <c r="H348" s="9" t="str">
        <f>_xlfn.XLOOKUP(B348,Plant_Master!A:A,Plant_Master!B:B)</f>
        <v>Orchid</v>
      </c>
      <c r="I348" s="9" t="str">
        <f>_xlfn.XLOOKUP(B348,Plant_Master!A:A,Plant_Master!C:C)</f>
        <v>Flower</v>
      </c>
      <c r="J348" s="9">
        <f>_xlfn.XLOOKUP(B348,Nursery_Inventory!B:B,Nursery_Inventory!C:C)</f>
        <v>155</v>
      </c>
    </row>
    <row r="349" spans="1:10" ht="13.2" x14ac:dyDescent="0.25">
      <c r="A349" s="10">
        <v>3335</v>
      </c>
      <c r="B349" s="10">
        <v>1190</v>
      </c>
      <c r="C349" s="10" t="s">
        <v>7</v>
      </c>
      <c r="D349" s="10">
        <v>15</v>
      </c>
      <c r="E349" s="10">
        <v>248</v>
      </c>
      <c r="F349" s="9">
        <f t="shared" si="5"/>
        <v>3720</v>
      </c>
      <c r="G349" s="9" t="str">
        <f>_xlfn.XLOOKUP(B349,Nursery_Inventory!B:B,Nursery_Inventory!E:E)</f>
        <v>Mumbai</v>
      </c>
      <c r="H349" s="9" t="str">
        <f>_xlfn.XLOOKUP(B349,Plant_Master!A:A,Plant_Master!B:B)</f>
        <v>Palm</v>
      </c>
      <c r="I349" s="9" t="str">
        <f>_xlfn.XLOOKUP(B349,Plant_Master!A:A,Plant_Master!C:C)</f>
        <v>Outdoor</v>
      </c>
      <c r="J349" s="9">
        <f>_xlfn.XLOOKUP(B349,Nursery_Inventory!B:B,Nursery_Inventory!C:C)</f>
        <v>305</v>
      </c>
    </row>
    <row r="350" spans="1:10" ht="13.2" x14ac:dyDescent="0.25">
      <c r="A350" s="10">
        <v>3149</v>
      </c>
      <c r="B350" s="10">
        <v>1181</v>
      </c>
      <c r="C350" s="10" t="s">
        <v>12</v>
      </c>
      <c r="D350" s="10">
        <v>39</v>
      </c>
      <c r="E350" s="10">
        <v>277</v>
      </c>
      <c r="F350" s="9">
        <f t="shared" si="5"/>
        <v>10803</v>
      </c>
      <c r="G350" s="9" t="str">
        <f>_xlfn.XLOOKUP(B350,Nursery_Inventory!B:B,Nursery_Inventory!E:E)</f>
        <v>Mumbai</v>
      </c>
      <c r="H350" s="9" t="str">
        <f>_xlfn.XLOOKUP(B350,Plant_Master!A:A,Plant_Master!B:B)</f>
        <v>Aloe</v>
      </c>
      <c r="I350" s="9" t="str">
        <f>_xlfn.XLOOKUP(B350,Plant_Master!A:A,Plant_Master!C:C)</f>
        <v>Flower</v>
      </c>
      <c r="J350" s="9">
        <f>_xlfn.XLOOKUP(B350,Nursery_Inventory!B:B,Nursery_Inventory!C:C)</f>
        <v>167</v>
      </c>
    </row>
    <row r="351" spans="1:10" ht="13.2" x14ac:dyDescent="0.25">
      <c r="A351" s="10">
        <v>3452</v>
      </c>
      <c r="B351" s="10">
        <v>1146</v>
      </c>
      <c r="C351" s="10" t="s">
        <v>14</v>
      </c>
      <c r="D351" s="10">
        <v>39</v>
      </c>
      <c r="E351" s="10">
        <v>77</v>
      </c>
      <c r="F351" s="9">
        <f t="shared" si="5"/>
        <v>3003</v>
      </c>
      <c r="G351" s="9" t="str">
        <f>_xlfn.XLOOKUP(B351,Nursery_Inventory!B:B,Nursery_Inventory!E:E)</f>
        <v>Delhi</v>
      </c>
      <c r="H351" s="9" t="str">
        <f>_xlfn.XLOOKUP(B351,Plant_Master!A:A,Plant_Master!B:B)</f>
        <v>Orchid</v>
      </c>
      <c r="I351" s="9" t="str">
        <f>_xlfn.XLOOKUP(B351,Plant_Master!A:A,Plant_Master!C:C)</f>
        <v>Succulent</v>
      </c>
      <c r="J351" s="9">
        <f>_xlfn.XLOOKUP(B351,Nursery_Inventory!B:B,Nursery_Inventory!C:C)</f>
        <v>151</v>
      </c>
    </row>
    <row r="352" spans="1:10" ht="13.2" x14ac:dyDescent="0.25">
      <c r="A352" s="10">
        <v>3350</v>
      </c>
      <c r="B352" s="10">
        <v>1500</v>
      </c>
      <c r="C352" s="10" t="s">
        <v>7</v>
      </c>
      <c r="D352" s="10">
        <v>16</v>
      </c>
      <c r="E352" s="10">
        <v>323</v>
      </c>
      <c r="F352" s="9">
        <f t="shared" si="5"/>
        <v>5168</v>
      </c>
      <c r="G352" s="9" t="str">
        <f>_xlfn.XLOOKUP(B352,Nursery_Inventory!B:B,Nursery_Inventory!E:E)</f>
        <v>Delhi</v>
      </c>
      <c r="H352" s="9" t="str">
        <f>_xlfn.XLOOKUP(B352,Plant_Master!A:A,Plant_Master!B:B)</f>
        <v>Tulip</v>
      </c>
      <c r="I352" s="9" t="str">
        <f>_xlfn.XLOOKUP(B352,Plant_Master!A:A,Plant_Master!C:C)</f>
        <v>Medicinal</v>
      </c>
      <c r="J352" s="9">
        <f>_xlfn.XLOOKUP(B352,Nursery_Inventory!B:B,Nursery_Inventory!C:C)</f>
        <v>150</v>
      </c>
    </row>
    <row r="353" spans="1:10" ht="13.2" x14ac:dyDescent="0.25">
      <c r="A353" s="10">
        <v>3091</v>
      </c>
      <c r="B353" s="10">
        <v>1488</v>
      </c>
      <c r="C353" s="10" t="s">
        <v>7</v>
      </c>
      <c r="D353" s="10">
        <v>46</v>
      </c>
      <c r="E353" s="10">
        <v>61</v>
      </c>
      <c r="F353" s="9">
        <f t="shared" si="5"/>
        <v>2806</v>
      </c>
      <c r="G353" s="13" t="s">
        <v>79</v>
      </c>
      <c r="H353" s="9" t="str">
        <f>_xlfn.XLOOKUP(B353,Plant_Master!A:A,Plant_Master!B:B)</f>
        <v>Jasmine</v>
      </c>
      <c r="I353" s="9" t="str">
        <f>_xlfn.XLOOKUP(B353,Plant_Master!A:A,Plant_Master!C:C)</f>
        <v>Medicinal</v>
      </c>
      <c r="J353" s="13" t="s">
        <v>73</v>
      </c>
    </row>
    <row r="354" spans="1:10" ht="13.2" x14ac:dyDescent="0.25">
      <c r="A354" s="10">
        <v>3336</v>
      </c>
      <c r="B354" s="10">
        <v>1059</v>
      </c>
      <c r="C354" s="10" t="s">
        <v>12</v>
      </c>
      <c r="D354" s="10">
        <v>1</v>
      </c>
      <c r="E354" s="10">
        <v>465</v>
      </c>
      <c r="F354" s="9">
        <f t="shared" si="5"/>
        <v>465</v>
      </c>
      <c r="G354" s="9" t="str">
        <f>_xlfn.XLOOKUP(B354,Nursery_Inventory!B:B,Nursery_Inventory!E:E)</f>
        <v>Pune</v>
      </c>
      <c r="H354" s="9" t="str">
        <f>_xlfn.XLOOKUP(B354,Plant_Master!A:A,Plant_Master!B:B)</f>
        <v>Orchid</v>
      </c>
      <c r="I354" s="9" t="str">
        <f>_xlfn.XLOOKUP(B354,Plant_Master!A:A,Plant_Master!C:C)</f>
        <v>Succulent</v>
      </c>
      <c r="J354" s="9">
        <f>_xlfn.XLOOKUP(B354,Nursery_Inventory!B:B,Nursery_Inventory!C:C)</f>
        <v>118</v>
      </c>
    </row>
    <row r="355" spans="1:10" ht="13.2" x14ac:dyDescent="0.25">
      <c r="A355" s="10">
        <v>3449</v>
      </c>
      <c r="B355" s="10">
        <v>1096</v>
      </c>
      <c r="C355" s="10" t="s">
        <v>7</v>
      </c>
      <c r="D355" s="10">
        <v>18</v>
      </c>
      <c r="E355" s="10">
        <v>152</v>
      </c>
      <c r="F355" s="9">
        <f t="shared" si="5"/>
        <v>2736</v>
      </c>
      <c r="G355" s="13" t="s">
        <v>79</v>
      </c>
      <c r="H355" s="9" t="str">
        <f>_xlfn.XLOOKUP(B355,Plant_Master!A:A,Plant_Master!B:B)</f>
        <v>Rose</v>
      </c>
      <c r="I355" s="9" t="str">
        <f>_xlfn.XLOOKUP(B355,Plant_Master!A:A,Plant_Master!C:C)</f>
        <v>Indoor</v>
      </c>
      <c r="J355" s="13" t="s">
        <v>73</v>
      </c>
    </row>
    <row r="356" spans="1:10" ht="13.2" x14ac:dyDescent="0.25">
      <c r="A356" s="10">
        <v>3007</v>
      </c>
      <c r="B356" s="10">
        <v>1183</v>
      </c>
      <c r="C356" s="10" t="s">
        <v>14</v>
      </c>
      <c r="D356" s="10">
        <v>14</v>
      </c>
      <c r="E356" s="10">
        <v>195</v>
      </c>
      <c r="F356" s="9">
        <f t="shared" si="5"/>
        <v>2730</v>
      </c>
      <c r="G356" s="13" t="s">
        <v>79</v>
      </c>
      <c r="H356" s="9" t="str">
        <f>_xlfn.XLOOKUP(B356,Plant_Master!A:A,Plant_Master!B:B)</f>
        <v>Cactus</v>
      </c>
      <c r="I356" s="9" t="str">
        <f>_xlfn.XLOOKUP(B356,Plant_Master!A:A,Plant_Master!C:C)</f>
        <v>Medicinal</v>
      </c>
      <c r="J356" s="13" t="s">
        <v>73</v>
      </c>
    </row>
    <row r="357" spans="1:10" ht="13.2" x14ac:dyDescent="0.25">
      <c r="A357" s="10">
        <v>3290</v>
      </c>
      <c r="B357" s="10">
        <v>1499</v>
      </c>
      <c r="C357" s="10" t="s">
        <v>12</v>
      </c>
      <c r="D357" s="10">
        <v>41</v>
      </c>
      <c r="E357" s="10">
        <v>322</v>
      </c>
      <c r="F357" s="9">
        <f t="shared" si="5"/>
        <v>13202</v>
      </c>
      <c r="G357" s="9" t="str">
        <f>_xlfn.XLOOKUP(B357,Nursery_Inventory!B:B,Nursery_Inventory!E:E)</f>
        <v>Pune</v>
      </c>
      <c r="H357" s="9" t="str">
        <f>_xlfn.XLOOKUP(B357,Plant_Master!A:A,Plant_Master!B:B)</f>
        <v>Tulip</v>
      </c>
      <c r="I357" s="9" t="str">
        <f>_xlfn.XLOOKUP(B357,Plant_Master!A:A,Plant_Master!C:C)</f>
        <v>Medicinal</v>
      </c>
      <c r="J357" s="9">
        <f>_xlfn.XLOOKUP(B357,Nursery_Inventory!B:B,Nursery_Inventory!C:C)</f>
        <v>108</v>
      </c>
    </row>
    <row r="358" spans="1:10" ht="13.2" x14ac:dyDescent="0.25">
      <c r="A358" s="10">
        <v>3378</v>
      </c>
      <c r="B358" s="10">
        <v>1117</v>
      </c>
      <c r="C358" s="10" t="s">
        <v>12</v>
      </c>
      <c r="D358" s="10">
        <v>20</v>
      </c>
      <c r="E358" s="10">
        <v>136</v>
      </c>
      <c r="F358" s="9">
        <f t="shared" si="5"/>
        <v>2720</v>
      </c>
      <c r="G358" s="9" t="str">
        <f>_xlfn.XLOOKUP(B358,Nursery_Inventory!B:B,Nursery_Inventory!E:E)</f>
        <v>Chennai</v>
      </c>
      <c r="H358" s="9" t="str">
        <f>_xlfn.XLOOKUP(B358,Plant_Master!A:A,Plant_Master!B:B)</f>
        <v>Lily</v>
      </c>
      <c r="I358" s="9" t="str">
        <f>_xlfn.XLOOKUP(B358,Plant_Master!A:A,Plant_Master!C:C)</f>
        <v>Succulent</v>
      </c>
      <c r="J358" s="9">
        <f>_xlfn.XLOOKUP(B358,Nursery_Inventory!B:B,Nursery_Inventory!C:C)</f>
        <v>299</v>
      </c>
    </row>
    <row r="359" spans="1:10" ht="13.2" x14ac:dyDescent="0.25">
      <c r="A359" s="10">
        <v>3344</v>
      </c>
      <c r="B359" s="10">
        <v>1128</v>
      </c>
      <c r="C359" s="10" t="s">
        <v>14</v>
      </c>
      <c r="D359" s="10">
        <v>24</v>
      </c>
      <c r="E359" s="10">
        <v>113</v>
      </c>
      <c r="F359" s="9">
        <f t="shared" si="5"/>
        <v>2712</v>
      </c>
      <c r="G359" s="13" t="s">
        <v>79</v>
      </c>
      <c r="H359" s="9" t="str">
        <f>_xlfn.XLOOKUP(B359,Plant_Master!A:A,Plant_Master!B:B)</f>
        <v>Cactus</v>
      </c>
      <c r="I359" s="9" t="str">
        <f>_xlfn.XLOOKUP(B359,Plant_Master!A:A,Plant_Master!C:C)</f>
        <v>Medicinal</v>
      </c>
      <c r="J359" s="13" t="s">
        <v>73</v>
      </c>
    </row>
    <row r="360" spans="1:10" ht="13.2" x14ac:dyDescent="0.25">
      <c r="A360" s="10">
        <v>3388</v>
      </c>
      <c r="B360" s="10">
        <v>1353</v>
      </c>
      <c r="C360" s="10" t="s">
        <v>25</v>
      </c>
      <c r="D360" s="10">
        <v>39</v>
      </c>
      <c r="E360" s="10">
        <v>69</v>
      </c>
      <c r="F360" s="9">
        <f t="shared" si="5"/>
        <v>2691</v>
      </c>
      <c r="G360" s="13" t="s">
        <v>79</v>
      </c>
      <c r="H360" s="9" t="str">
        <f>_xlfn.XLOOKUP(B360,Plant_Master!A:A,Plant_Master!B:B)</f>
        <v>Bamboo</v>
      </c>
      <c r="I360" s="9" t="str">
        <f>_xlfn.XLOOKUP(B360,Plant_Master!A:A,Plant_Master!C:C)</f>
        <v>Succulent</v>
      </c>
      <c r="J360" s="13" t="s">
        <v>73</v>
      </c>
    </row>
    <row r="361" spans="1:10" ht="13.2" x14ac:dyDescent="0.25">
      <c r="A361" s="10">
        <v>3138</v>
      </c>
      <c r="B361" s="10">
        <v>1472</v>
      </c>
      <c r="C361" s="10" t="s">
        <v>7</v>
      </c>
      <c r="D361" s="10">
        <v>14</v>
      </c>
      <c r="E361" s="10">
        <v>192</v>
      </c>
      <c r="F361" s="9">
        <f t="shared" si="5"/>
        <v>2688</v>
      </c>
      <c r="G361" s="13" t="s">
        <v>79</v>
      </c>
      <c r="H361" s="9" t="str">
        <f>_xlfn.XLOOKUP(B361,Plant_Master!A:A,Plant_Master!B:B)</f>
        <v>Jasmine</v>
      </c>
      <c r="I361" s="9" t="str">
        <f>_xlfn.XLOOKUP(B361,Plant_Master!A:A,Plant_Master!C:C)</f>
        <v>Succulent</v>
      </c>
      <c r="J361" s="13" t="s">
        <v>73</v>
      </c>
    </row>
    <row r="362" spans="1:10" ht="13.2" x14ac:dyDescent="0.25">
      <c r="A362" s="10">
        <v>3463</v>
      </c>
      <c r="B362" s="10">
        <v>1488</v>
      </c>
      <c r="C362" s="10" t="s">
        <v>12</v>
      </c>
      <c r="D362" s="10">
        <v>26</v>
      </c>
      <c r="E362" s="10">
        <v>103</v>
      </c>
      <c r="F362" s="9">
        <f t="shared" si="5"/>
        <v>2678</v>
      </c>
      <c r="G362" s="13" t="s">
        <v>79</v>
      </c>
      <c r="H362" s="9" t="str">
        <f>_xlfn.XLOOKUP(B362,Plant_Master!A:A,Plant_Master!B:B)</f>
        <v>Jasmine</v>
      </c>
      <c r="I362" s="9" t="str">
        <f>_xlfn.XLOOKUP(B362,Plant_Master!A:A,Plant_Master!C:C)</f>
        <v>Medicinal</v>
      </c>
      <c r="J362" s="13" t="s">
        <v>73</v>
      </c>
    </row>
    <row r="363" spans="1:10" ht="13.2" x14ac:dyDescent="0.25">
      <c r="A363" s="10">
        <v>3260</v>
      </c>
      <c r="B363" s="10">
        <v>1499</v>
      </c>
      <c r="C363" s="10" t="s">
        <v>7</v>
      </c>
      <c r="D363" s="10">
        <v>35</v>
      </c>
      <c r="E363" s="10">
        <v>83</v>
      </c>
      <c r="F363" s="9">
        <f t="shared" si="5"/>
        <v>2905</v>
      </c>
      <c r="G363" s="9" t="str">
        <f>_xlfn.XLOOKUP(B363,Nursery_Inventory!B:B,Nursery_Inventory!E:E)</f>
        <v>Pune</v>
      </c>
      <c r="H363" s="9" t="str">
        <f>_xlfn.XLOOKUP(B363,Plant_Master!A:A,Plant_Master!B:B)</f>
        <v>Tulip</v>
      </c>
      <c r="I363" s="9" t="str">
        <f>_xlfn.XLOOKUP(B363,Plant_Master!A:A,Plant_Master!C:C)</f>
        <v>Medicinal</v>
      </c>
      <c r="J363" s="9">
        <f>_xlfn.XLOOKUP(B363,Nursery_Inventory!B:B,Nursery_Inventory!C:C)</f>
        <v>108</v>
      </c>
    </row>
    <row r="364" spans="1:10" ht="13.2" x14ac:dyDescent="0.25">
      <c r="A364" s="10">
        <v>3226</v>
      </c>
      <c r="B364" s="10">
        <v>1116</v>
      </c>
      <c r="C364" s="10" t="s">
        <v>12</v>
      </c>
      <c r="D364" s="10">
        <v>42</v>
      </c>
      <c r="E364" s="10">
        <v>63</v>
      </c>
      <c r="F364" s="9">
        <f t="shared" si="5"/>
        <v>2646</v>
      </c>
      <c r="G364" s="13" t="s">
        <v>79</v>
      </c>
      <c r="H364" s="9" t="str">
        <f>_xlfn.XLOOKUP(B364,Plant_Master!A:A,Plant_Master!B:B)</f>
        <v>Bamboo</v>
      </c>
      <c r="I364" s="9" t="str">
        <f>_xlfn.XLOOKUP(B364,Plant_Master!A:A,Plant_Master!C:C)</f>
        <v>Medicinal</v>
      </c>
      <c r="J364" s="13" t="s">
        <v>73</v>
      </c>
    </row>
    <row r="365" spans="1:10" ht="13.2" x14ac:dyDescent="0.25">
      <c r="A365" s="10">
        <v>3339</v>
      </c>
      <c r="B365" s="10">
        <v>1423</v>
      </c>
      <c r="C365" s="10" t="s">
        <v>25</v>
      </c>
      <c r="D365" s="10">
        <v>10</v>
      </c>
      <c r="E365" s="10">
        <v>264</v>
      </c>
      <c r="F365" s="9">
        <f t="shared" si="5"/>
        <v>2640</v>
      </c>
      <c r="G365" s="9" t="str">
        <f>_xlfn.XLOOKUP(B365,Nursery_Inventory!B:B,Nursery_Inventory!E:E)</f>
        <v>Mumbai</v>
      </c>
      <c r="H365" s="9" t="str">
        <f>_xlfn.XLOOKUP(B365,Plant_Master!A:A,Plant_Master!B:B)</f>
        <v>Fern</v>
      </c>
      <c r="I365" s="9" t="str">
        <f>_xlfn.XLOOKUP(B365,Plant_Master!A:A,Plant_Master!C:C)</f>
        <v>Medicinal</v>
      </c>
      <c r="J365" s="9">
        <f>_xlfn.XLOOKUP(B365,Nursery_Inventory!B:B,Nursery_Inventory!C:C)</f>
        <v>198</v>
      </c>
    </row>
    <row r="366" spans="1:10" ht="13.2" x14ac:dyDescent="0.25">
      <c r="A366" s="10">
        <v>3242</v>
      </c>
      <c r="B366" s="10">
        <v>1313</v>
      </c>
      <c r="C366" s="10" t="s">
        <v>14</v>
      </c>
      <c r="D366" s="10">
        <v>14</v>
      </c>
      <c r="E366" s="10">
        <v>330</v>
      </c>
      <c r="F366" s="9">
        <f t="shared" si="5"/>
        <v>4620</v>
      </c>
      <c r="G366" s="13" t="s">
        <v>79</v>
      </c>
      <c r="H366" s="9" t="str">
        <f>_xlfn.XLOOKUP(B366,Plant_Master!A:A,Plant_Master!B:B)</f>
        <v>Aloe</v>
      </c>
      <c r="I366" s="9" t="str">
        <f>_xlfn.XLOOKUP(B366,Plant_Master!A:A,Plant_Master!C:C)</f>
        <v>Outdoor</v>
      </c>
      <c r="J366" s="13" t="s">
        <v>73</v>
      </c>
    </row>
    <row r="367" spans="1:10" ht="13.2" x14ac:dyDescent="0.25">
      <c r="A367" s="10">
        <v>3181</v>
      </c>
      <c r="B367" s="10">
        <v>1464</v>
      </c>
      <c r="C367" s="10" t="s">
        <v>9</v>
      </c>
      <c r="D367" s="10">
        <v>8</v>
      </c>
      <c r="E367" s="10">
        <v>317</v>
      </c>
      <c r="F367" s="9">
        <f t="shared" si="5"/>
        <v>2536</v>
      </c>
      <c r="G367" s="13" t="s">
        <v>79</v>
      </c>
      <c r="H367" s="9" t="str">
        <f>_xlfn.XLOOKUP(B367,Plant_Master!A:A,Plant_Master!B:B)</f>
        <v>Aloe</v>
      </c>
      <c r="I367" s="9" t="str">
        <f>_xlfn.XLOOKUP(B367,Plant_Master!A:A,Plant_Master!C:C)</f>
        <v>Succulent</v>
      </c>
      <c r="J367" s="13" t="s">
        <v>73</v>
      </c>
    </row>
    <row r="368" spans="1:10" ht="13.2" x14ac:dyDescent="0.25">
      <c r="A368" s="10">
        <v>3166</v>
      </c>
      <c r="B368" s="10">
        <v>1500</v>
      </c>
      <c r="C368" s="10" t="s">
        <v>14</v>
      </c>
      <c r="D368" s="10">
        <v>6</v>
      </c>
      <c r="E368" s="10">
        <v>355</v>
      </c>
      <c r="F368" s="9">
        <f t="shared" si="5"/>
        <v>2130</v>
      </c>
      <c r="G368" s="9" t="str">
        <f>_xlfn.XLOOKUP(B368,Nursery_Inventory!B:B,Nursery_Inventory!E:E)</f>
        <v>Delhi</v>
      </c>
      <c r="H368" s="9" t="str">
        <f>_xlfn.XLOOKUP(B368,Plant_Master!A:A,Plant_Master!B:B)</f>
        <v>Tulip</v>
      </c>
      <c r="I368" s="9" t="str">
        <f>_xlfn.XLOOKUP(B368,Plant_Master!A:A,Plant_Master!C:C)</f>
        <v>Medicinal</v>
      </c>
      <c r="J368" s="9">
        <f>_xlfn.XLOOKUP(B368,Nursery_Inventory!B:B,Nursery_Inventory!C:C)</f>
        <v>150</v>
      </c>
    </row>
    <row r="369" spans="1:10" ht="13.2" x14ac:dyDescent="0.25">
      <c r="A369" s="10">
        <v>3498</v>
      </c>
      <c r="B369" s="10">
        <v>1200</v>
      </c>
      <c r="C369" s="10" t="s">
        <v>12</v>
      </c>
      <c r="D369" s="10">
        <v>34</v>
      </c>
      <c r="E369" s="10">
        <v>482</v>
      </c>
      <c r="F369" s="9">
        <f t="shared" si="5"/>
        <v>16388</v>
      </c>
      <c r="G369" s="9" t="str">
        <f>_xlfn.XLOOKUP(B369,Nursery_Inventory!B:B,Nursery_Inventory!E:E)</f>
        <v>Pune</v>
      </c>
      <c r="H369" s="9" t="str">
        <f>_xlfn.XLOOKUP(B369,Plant_Master!A:A,Plant_Master!B:B)</f>
        <v>Cactus</v>
      </c>
      <c r="I369" s="9" t="str">
        <f>_xlfn.XLOOKUP(B369,Plant_Master!A:A,Plant_Master!C:C)</f>
        <v>Flower</v>
      </c>
      <c r="J369" s="9">
        <f>_xlfn.XLOOKUP(B369,Nursery_Inventory!B:B,Nursery_Inventory!C:C)</f>
        <v>104</v>
      </c>
    </row>
    <row r="370" spans="1:10" ht="13.2" x14ac:dyDescent="0.25">
      <c r="A370" s="10">
        <v>3150</v>
      </c>
      <c r="B370" s="10">
        <v>1474</v>
      </c>
      <c r="C370" s="10" t="s">
        <v>25</v>
      </c>
      <c r="D370" s="10">
        <v>6</v>
      </c>
      <c r="E370" s="10">
        <v>417</v>
      </c>
      <c r="F370" s="9">
        <f t="shared" si="5"/>
        <v>2502</v>
      </c>
      <c r="G370" s="13" t="s">
        <v>79</v>
      </c>
      <c r="H370" s="9" t="str">
        <f>_xlfn.XLOOKUP(B370,Plant_Master!A:A,Plant_Master!B:B)</f>
        <v>Bamboo</v>
      </c>
      <c r="I370" s="9" t="str">
        <f>_xlfn.XLOOKUP(B370,Plant_Master!A:A,Plant_Master!C:C)</f>
        <v>Medicinal</v>
      </c>
      <c r="J370" s="13" t="s">
        <v>73</v>
      </c>
    </row>
    <row r="371" spans="1:10" ht="13.2" x14ac:dyDescent="0.25">
      <c r="A371" s="10">
        <v>3431</v>
      </c>
      <c r="B371" s="10">
        <v>1306</v>
      </c>
      <c r="C371" s="10" t="s">
        <v>12</v>
      </c>
      <c r="D371" s="10">
        <v>7</v>
      </c>
      <c r="E371" s="10">
        <v>355</v>
      </c>
      <c r="F371" s="9">
        <f t="shared" si="5"/>
        <v>2485</v>
      </c>
      <c r="G371" s="9" t="str">
        <f>_xlfn.XLOOKUP(B371,Nursery_Inventory!B:B,Nursery_Inventory!E:E)</f>
        <v>Mumbai</v>
      </c>
      <c r="H371" s="9" t="str">
        <f>_xlfn.XLOOKUP(B371,Plant_Master!A:A,Plant_Master!B:B)</f>
        <v>Lily</v>
      </c>
      <c r="I371" s="9" t="str">
        <f>_xlfn.XLOOKUP(B371,Plant_Master!A:A,Plant_Master!C:C)</f>
        <v>Medicinal</v>
      </c>
      <c r="J371" s="9">
        <f>_xlfn.XLOOKUP(B371,Nursery_Inventory!B:B,Nursery_Inventory!C:C)</f>
        <v>412</v>
      </c>
    </row>
    <row r="372" spans="1:10" ht="13.2" x14ac:dyDescent="0.25">
      <c r="A372" s="10">
        <v>3270</v>
      </c>
      <c r="B372" s="10">
        <v>1011</v>
      </c>
      <c r="C372" s="10" t="s">
        <v>14</v>
      </c>
      <c r="D372" s="10">
        <v>14</v>
      </c>
      <c r="E372" s="10">
        <v>232</v>
      </c>
      <c r="F372" s="9">
        <f t="shared" si="5"/>
        <v>3248</v>
      </c>
      <c r="G372" s="13" t="s">
        <v>79</v>
      </c>
      <c r="H372" s="9" t="str">
        <f>_xlfn.XLOOKUP(B372,Plant_Master!A:A,Plant_Master!B:B)</f>
        <v>Fern</v>
      </c>
      <c r="I372" s="9" t="str">
        <f>_xlfn.XLOOKUP(B372,Plant_Master!A:A,Plant_Master!C:C)</f>
        <v>Outdoor</v>
      </c>
      <c r="J372" s="13" t="s">
        <v>73</v>
      </c>
    </row>
    <row r="373" spans="1:10" ht="13.2" x14ac:dyDescent="0.25">
      <c r="A373" s="10">
        <v>3342</v>
      </c>
      <c r="B373" s="10">
        <v>1007</v>
      </c>
      <c r="C373" s="10" t="s">
        <v>12</v>
      </c>
      <c r="D373" s="10">
        <v>29</v>
      </c>
      <c r="E373" s="10">
        <v>85</v>
      </c>
      <c r="F373" s="9">
        <f t="shared" si="5"/>
        <v>2465</v>
      </c>
      <c r="G373" s="9" t="str">
        <f>_xlfn.XLOOKUP(B373,Nursery_Inventory!B:B,Nursery_Inventory!E:E)</f>
        <v>Bangalore</v>
      </c>
      <c r="H373" s="9" t="str">
        <f>_xlfn.XLOOKUP(B373,Plant_Master!A:A,Plant_Master!B:B)</f>
        <v>Fern</v>
      </c>
      <c r="I373" s="9" t="str">
        <f>_xlfn.XLOOKUP(B373,Plant_Master!A:A,Plant_Master!C:C)</f>
        <v>Indoor</v>
      </c>
      <c r="J373" s="9">
        <f>_xlfn.XLOOKUP(B373,Nursery_Inventory!B:B,Nursery_Inventory!C:C)</f>
        <v>180</v>
      </c>
    </row>
    <row r="374" spans="1:10" ht="13.2" x14ac:dyDescent="0.25">
      <c r="A374" s="10">
        <v>3159</v>
      </c>
      <c r="B374" s="10">
        <v>1416</v>
      </c>
      <c r="C374" s="10" t="s">
        <v>25</v>
      </c>
      <c r="D374" s="10">
        <v>14</v>
      </c>
      <c r="E374" s="10">
        <v>175</v>
      </c>
      <c r="F374" s="9">
        <f t="shared" si="5"/>
        <v>2450</v>
      </c>
      <c r="G374" s="9" t="str">
        <f>_xlfn.XLOOKUP(B374,Nursery_Inventory!B:B,Nursery_Inventory!E:E)</f>
        <v>Chennai</v>
      </c>
      <c r="H374" s="9" t="str">
        <f>_xlfn.XLOOKUP(B374,Plant_Master!A:A,Plant_Master!B:B)</f>
        <v>Cactus</v>
      </c>
      <c r="I374" s="9" t="str">
        <f>_xlfn.XLOOKUP(B374,Plant_Master!A:A,Plant_Master!C:C)</f>
        <v>Indoor</v>
      </c>
      <c r="J374" s="9">
        <f>_xlfn.XLOOKUP(B374,Nursery_Inventory!B:B,Nursery_Inventory!C:C)</f>
        <v>16</v>
      </c>
    </row>
    <row r="375" spans="1:10" ht="13.2" x14ac:dyDescent="0.25">
      <c r="A375" s="10">
        <v>3330</v>
      </c>
      <c r="B375" s="10">
        <v>1420</v>
      </c>
      <c r="C375" s="10" t="s">
        <v>9</v>
      </c>
      <c r="D375" s="10">
        <v>17</v>
      </c>
      <c r="E375" s="10">
        <v>155</v>
      </c>
      <c r="F375" s="9">
        <f t="shared" si="5"/>
        <v>2635</v>
      </c>
      <c r="G375" s="9" t="str">
        <f>_xlfn.XLOOKUP(B375,Nursery_Inventory!B:B,Nursery_Inventory!E:E)</f>
        <v>Delhi</v>
      </c>
      <c r="H375" s="9" t="str">
        <f>_xlfn.XLOOKUP(B375,Plant_Master!A:A,Plant_Master!B:B)</f>
        <v>Palm</v>
      </c>
      <c r="I375" s="9" t="str">
        <f>_xlfn.XLOOKUP(B375,Plant_Master!A:A,Plant_Master!C:C)</f>
        <v>Outdoor</v>
      </c>
      <c r="J375" s="9">
        <f>_xlfn.XLOOKUP(B375,Nursery_Inventory!B:B,Nursery_Inventory!C:C)</f>
        <v>147</v>
      </c>
    </row>
    <row r="376" spans="1:10" ht="13.2" x14ac:dyDescent="0.25">
      <c r="A376" s="10">
        <v>3103</v>
      </c>
      <c r="B376" s="10">
        <v>1402</v>
      </c>
      <c r="C376" s="10" t="s">
        <v>14</v>
      </c>
      <c r="D376" s="10">
        <v>14</v>
      </c>
      <c r="E376" s="10">
        <v>148</v>
      </c>
      <c r="F376" s="9">
        <f t="shared" si="5"/>
        <v>2072</v>
      </c>
      <c r="G376" s="13" t="s">
        <v>79</v>
      </c>
      <c r="H376" s="9" t="str">
        <f>_xlfn.XLOOKUP(B376,Plant_Master!A:A,Plant_Master!B:B)</f>
        <v>Rose</v>
      </c>
      <c r="I376" s="9" t="str">
        <f>_xlfn.XLOOKUP(B376,Plant_Master!A:A,Plant_Master!C:C)</f>
        <v>Outdoor</v>
      </c>
      <c r="J376" s="13" t="s">
        <v>73</v>
      </c>
    </row>
    <row r="377" spans="1:10" ht="13.2" x14ac:dyDescent="0.25">
      <c r="A377" s="10">
        <v>3451</v>
      </c>
      <c r="B377" s="10">
        <v>1344</v>
      </c>
      <c r="C377" s="10" t="s">
        <v>25</v>
      </c>
      <c r="D377" s="10">
        <v>13</v>
      </c>
      <c r="E377" s="10">
        <v>411</v>
      </c>
      <c r="F377" s="9">
        <f t="shared" si="5"/>
        <v>5343</v>
      </c>
      <c r="G377" s="13" t="s">
        <v>79</v>
      </c>
      <c r="H377" s="9" t="str">
        <f>_xlfn.XLOOKUP(B377,Plant_Master!A:A,Plant_Master!B:B)</f>
        <v>Aloe</v>
      </c>
      <c r="I377" s="9" t="str">
        <f>_xlfn.XLOOKUP(B377,Plant_Master!A:A,Plant_Master!C:C)</f>
        <v>Outdoor</v>
      </c>
      <c r="J377" s="13" t="s">
        <v>73</v>
      </c>
    </row>
    <row r="378" spans="1:10" ht="13.2" x14ac:dyDescent="0.25">
      <c r="A378" s="10">
        <v>3185</v>
      </c>
      <c r="B378" s="10">
        <v>1065</v>
      </c>
      <c r="C378" s="10" t="s">
        <v>14</v>
      </c>
      <c r="D378" s="10">
        <v>41</v>
      </c>
      <c r="E378" s="10">
        <v>260</v>
      </c>
      <c r="F378" s="9">
        <f t="shared" si="5"/>
        <v>10660</v>
      </c>
      <c r="G378" s="9" t="str">
        <f>_xlfn.XLOOKUP(B378,Nursery_Inventory!B:B,Nursery_Inventory!E:E)</f>
        <v>Bangalore</v>
      </c>
      <c r="H378" s="9" t="str">
        <f>_xlfn.XLOOKUP(B378,Plant_Master!A:A,Plant_Master!B:B)</f>
        <v>Aloe</v>
      </c>
      <c r="I378" s="9" t="str">
        <f>_xlfn.XLOOKUP(B378,Plant_Master!A:A,Plant_Master!C:C)</f>
        <v>Succulent</v>
      </c>
      <c r="J378" s="9">
        <f>_xlfn.XLOOKUP(B378,Nursery_Inventory!B:B,Nursery_Inventory!C:C)</f>
        <v>131</v>
      </c>
    </row>
    <row r="379" spans="1:10" ht="13.2" x14ac:dyDescent="0.25">
      <c r="A379" s="10">
        <v>3393</v>
      </c>
      <c r="B379" s="10">
        <v>1200</v>
      </c>
      <c r="C379" s="10" t="s">
        <v>14</v>
      </c>
      <c r="D379" s="10">
        <v>10</v>
      </c>
      <c r="E379" s="10">
        <v>428</v>
      </c>
      <c r="F379" s="9">
        <f t="shared" si="5"/>
        <v>4280</v>
      </c>
      <c r="G379" s="9" t="str">
        <f>_xlfn.XLOOKUP(B379,Nursery_Inventory!B:B,Nursery_Inventory!E:E)</f>
        <v>Pune</v>
      </c>
      <c r="H379" s="9" t="str">
        <f>_xlfn.XLOOKUP(B379,Plant_Master!A:A,Plant_Master!B:B)</f>
        <v>Cactus</v>
      </c>
      <c r="I379" s="9" t="str">
        <f>_xlfn.XLOOKUP(B379,Plant_Master!A:A,Plant_Master!C:C)</f>
        <v>Flower</v>
      </c>
      <c r="J379" s="9">
        <f>_xlfn.XLOOKUP(B379,Nursery_Inventory!B:B,Nursery_Inventory!C:C)</f>
        <v>104</v>
      </c>
    </row>
    <row r="380" spans="1:10" ht="13.2" x14ac:dyDescent="0.25">
      <c r="A380" s="10">
        <v>3199</v>
      </c>
      <c r="B380" s="10">
        <v>1263</v>
      </c>
      <c r="C380" s="10" t="s">
        <v>9</v>
      </c>
      <c r="D380" s="10">
        <v>14</v>
      </c>
      <c r="E380" s="10">
        <v>160</v>
      </c>
      <c r="F380" s="9">
        <f t="shared" si="5"/>
        <v>2240</v>
      </c>
      <c r="G380" s="9" t="str">
        <f>_xlfn.XLOOKUP(B380,Nursery_Inventory!B:B,Nursery_Inventory!E:E)</f>
        <v>Pune</v>
      </c>
      <c r="H380" s="9" t="str">
        <f>_xlfn.XLOOKUP(B380,Plant_Master!A:A,Plant_Master!B:B)</f>
        <v>Rose</v>
      </c>
      <c r="I380" s="9" t="str">
        <f>_xlfn.XLOOKUP(B380,Plant_Master!A:A,Plant_Master!C:C)</f>
        <v>Indoor</v>
      </c>
      <c r="J380" s="9">
        <f>_xlfn.XLOOKUP(B380,Nursery_Inventory!B:B,Nursery_Inventory!C:C)</f>
        <v>98</v>
      </c>
    </row>
    <row r="381" spans="1:10" ht="13.2" x14ac:dyDescent="0.25">
      <c r="A381" s="10">
        <v>3371</v>
      </c>
      <c r="B381" s="10">
        <v>1279</v>
      </c>
      <c r="C381" s="10" t="s">
        <v>9</v>
      </c>
      <c r="D381" s="10">
        <v>25</v>
      </c>
      <c r="E381" s="10">
        <v>92</v>
      </c>
      <c r="F381" s="9">
        <f t="shared" si="5"/>
        <v>2300</v>
      </c>
      <c r="G381" s="13" t="s">
        <v>79</v>
      </c>
      <c r="H381" s="9" t="str">
        <f>_xlfn.XLOOKUP(B381,Plant_Master!A:A,Plant_Master!B:B)</f>
        <v>Jasmine</v>
      </c>
      <c r="I381" s="9" t="str">
        <f>_xlfn.XLOOKUP(B381,Plant_Master!A:A,Plant_Master!C:C)</f>
        <v>Medicinal</v>
      </c>
      <c r="J381" s="13" t="s">
        <v>73</v>
      </c>
    </row>
    <row r="382" spans="1:10" ht="13.2" x14ac:dyDescent="0.25">
      <c r="A382" s="10">
        <v>3038</v>
      </c>
      <c r="B382" s="10">
        <v>1297</v>
      </c>
      <c r="C382" s="10" t="s">
        <v>7</v>
      </c>
      <c r="D382" s="10">
        <v>5</v>
      </c>
      <c r="E382" s="10">
        <v>459</v>
      </c>
      <c r="F382" s="9">
        <f t="shared" si="5"/>
        <v>2295</v>
      </c>
      <c r="G382" s="9" t="str">
        <f>_xlfn.XLOOKUP(B382,Nursery_Inventory!B:B,Nursery_Inventory!E:E)</f>
        <v>Mumbai</v>
      </c>
      <c r="H382" s="9" t="str">
        <f>_xlfn.XLOOKUP(B382,Plant_Master!A:A,Plant_Master!B:B)</f>
        <v>Palm</v>
      </c>
      <c r="I382" s="9" t="str">
        <f>_xlfn.XLOOKUP(B382,Plant_Master!A:A,Plant_Master!C:C)</f>
        <v>Medicinal</v>
      </c>
      <c r="J382" s="9">
        <f>_xlfn.XLOOKUP(B382,Nursery_Inventory!B:B,Nursery_Inventory!C:C)</f>
        <v>235</v>
      </c>
    </row>
    <row r="383" spans="1:10" ht="13.2" x14ac:dyDescent="0.25">
      <c r="A383" s="10">
        <v>3359</v>
      </c>
      <c r="B383" s="10">
        <v>1045</v>
      </c>
      <c r="C383" s="10" t="s">
        <v>9</v>
      </c>
      <c r="D383" s="10">
        <v>42</v>
      </c>
      <c r="E383" s="10">
        <v>476</v>
      </c>
      <c r="F383" s="9">
        <f t="shared" si="5"/>
        <v>19992</v>
      </c>
      <c r="G383" s="9" t="str">
        <f>_xlfn.XLOOKUP(B383,Nursery_Inventory!B:B,Nursery_Inventory!E:E)</f>
        <v>Pune</v>
      </c>
      <c r="H383" s="9" t="str">
        <f>_xlfn.XLOOKUP(B383,Plant_Master!A:A,Plant_Master!B:B)</f>
        <v>Fern</v>
      </c>
      <c r="I383" s="9" t="str">
        <f>_xlfn.XLOOKUP(B383,Plant_Master!A:A,Plant_Master!C:C)</f>
        <v>Indoor</v>
      </c>
      <c r="J383" s="9">
        <f>_xlfn.XLOOKUP(B383,Nursery_Inventory!B:B,Nursery_Inventory!C:C)</f>
        <v>80</v>
      </c>
    </row>
    <row r="384" spans="1:10" ht="13.2" x14ac:dyDescent="0.25">
      <c r="A384" s="10">
        <v>3401</v>
      </c>
      <c r="B384" s="10">
        <v>1072</v>
      </c>
      <c r="C384" s="10" t="s">
        <v>12</v>
      </c>
      <c r="D384" s="10">
        <v>49</v>
      </c>
      <c r="E384" s="10">
        <v>278</v>
      </c>
      <c r="F384" s="9">
        <f t="shared" si="5"/>
        <v>13622</v>
      </c>
      <c r="G384" s="9" t="str">
        <f>_xlfn.XLOOKUP(B384,Nursery_Inventory!B:B,Nursery_Inventory!E:E)</f>
        <v>Delhi</v>
      </c>
      <c r="H384" s="9" t="str">
        <f>_xlfn.XLOOKUP(B384,Plant_Master!A:A,Plant_Master!B:B)</f>
        <v>Cactus</v>
      </c>
      <c r="I384" s="9" t="str">
        <f>_xlfn.XLOOKUP(B384,Plant_Master!A:A,Plant_Master!C:C)</f>
        <v>Outdoor</v>
      </c>
      <c r="J384" s="9">
        <f>_xlfn.XLOOKUP(B384,Nursery_Inventory!B:B,Nursery_Inventory!C:C)</f>
        <v>144</v>
      </c>
    </row>
    <row r="385" spans="1:10" ht="13.2" x14ac:dyDescent="0.25">
      <c r="A385" s="10">
        <v>3235</v>
      </c>
      <c r="B385" s="10">
        <v>1160</v>
      </c>
      <c r="C385" s="10" t="s">
        <v>9</v>
      </c>
      <c r="D385" s="10">
        <v>25</v>
      </c>
      <c r="E385" s="10">
        <v>90</v>
      </c>
      <c r="F385" s="9">
        <f t="shared" si="5"/>
        <v>2250</v>
      </c>
      <c r="G385" s="9" t="str">
        <f>_xlfn.XLOOKUP(B385,Nursery_Inventory!B:B,Nursery_Inventory!E:E)</f>
        <v>Mumbai</v>
      </c>
      <c r="H385" s="9" t="str">
        <f>_xlfn.XLOOKUP(B385,Plant_Master!A:A,Plant_Master!B:B)</f>
        <v>Aloe</v>
      </c>
      <c r="I385" s="9" t="str">
        <f>_xlfn.XLOOKUP(B385,Plant_Master!A:A,Plant_Master!C:C)</f>
        <v>Succulent</v>
      </c>
      <c r="J385" s="9">
        <f>_xlfn.XLOOKUP(B385,Nursery_Inventory!B:B,Nursery_Inventory!C:C)</f>
        <v>234</v>
      </c>
    </row>
    <row r="386" spans="1:10" ht="13.2" x14ac:dyDescent="0.25">
      <c r="A386" s="10">
        <v>3353</v>
      </c>
      <c r="B386" s="10">
        <v>1072</v>
      </c>
      <c r="C386" s="10" t="s">
        <v>25</v>
      </c>
      <c r="D386" s="10">
        <v>46</v>
      </c>
      <c r="E386" s="10">
        <v>288</v>
      </c>
      <c r="F386" s="9">
        <f t="shared" ref="F386:F449" si="6">D386*E386</f>
        <v>13248</v>
      </c>
      <c r="G386" s="9" t="str">
        <f>_xlfn.XLOOKUP(B386,Nursery_Inventory!B:B,Nursery_Inventory!E:E)</f>
        <v>Delhi</v>
      </c>
      <c r="H386" s="9" t="str">
        <f>_xlfn.XLOOKUP(B386,Plant_Master!A:A,Plant_Master!B:B)</f>
        <v>Cactus</v>
      </c>
      <c r="I386" s="9" t="str">
        <f>_xlfn.XLOOKUP(B386,Plant_Master!A:A,Plant_Master!C:C)</f>
        <v>Outdoor</v>
      </c>
      <c r="J386" s="9">
        <f>_xlfn.XLOOKUP(B386,Nursery_Inventory!B:B,Nursery_Inventory!C:C)</f>
        <v>144</v>
      </c>
    </row>
    <row r="387" spans="1:10" ht="13.2" x14ac:dyDescent="0.25">
      <c r="A387" s="10">
        <v>3447</v>
      </c>
      <c r="B387" s="10">
        <v>1045</v>
      </c>
      <c r="C387" s="10" t="s">
        <v>14</v>
      </c>
      <c r="D387" s="10">
        <v>26</v>
      </c>
      <c r="E387" s="10">
        <v>153</v>
      </c>
      <c r="F387" s="9">
        <f t="shared" si="6"/>
        <v>3978</v>
      </c>
      <c r="G387" s="9" t="str">
        <f>_xlfn.XLOOKUP(B387,Nursery_Inventory!B:B,Nursery_Inventory!E:E)</f>
        <v>Pune</v>
      </c>
      <c r="H387" s="9" t="str">
        <f>_xlfn.XLOOKUP(B387,Plant_Master!A:A,Plant_Master!B:B)</f>
        <v>Fern</v>
      </c>
      <c r="I387" s="9" t="str">
        <f>_xlfn.XLOOKUP(B387,Plant_Master!A:A,Plant_Master!C:C)</f>
        <v>Indoor</v>
      </c>
      <c r="J387" s="9">
        <f>_xlfn.XLOOKUP(B387,Nursery_Inventory!B:B,Nursery_Inventory!C:C)</f>
        <v>80</v>
      </c>
    </row>
    <row r="388" spans="1:10" ht="13.2" x14ac:dyDescent="0.25">
      <c r="A388" s="10">
        <v>3210</v>
      </c>
      <c r="B388" s="10">
        <v>1156</v>
      </c>
      <c r="C388" s="10" t="s">
        <v>12</v>
      </c>
      <c r="D388" s="10">
        <v>3</v>
      </c>
      <c r="E388" s="10">
        <v>452</v>
      </c>
      <c r="F388" s="9">
        <f t="shared" si="6"/>
        <v>1356</v>
      </c>
      <c r="G388" s="9" t="str">
        <f>_xlfn.XLOOKUP(B388,Nursery_Inventory!B:B,Nursery_Inventory!E:E)</f>
        <v>Delhi</v>
      </c>
      <c r="H388" s="9" t="str">
        <f>_xlfn.XLOOKUP(B388,Plant_Master!A:A,Plant_Master!B:B)</f>
        <v>Rose</v>
      </c>
      <c r="I388" s="9" t="str">
        <f>_xlfn.XLOOKUP(B388,Plant_Master!A:A,Plant_Master!C:C)</f>
        <v>Outdoor</v>
      </c>
      <c r="J388" s="9">
        <f>_xlfn.XLOOKUP(B388,Nursery_Inventory!B:B,Nursery_Inventory!C:C)</f>
        <v>141</v>
      </c>
    </row>
    <row r="389" spans="1:10" ht="13.2" x14ac:dyDescent="0.25">
      <c r="A389" s="10">
        <v>3349</v>
      </c>
      <c r="B389" s="10">
        <v>1047</v>
      </c>
      <c r="C389" s="10" t="s">
        <v>12</v>
      </c>
      <c r="D389" s="10">
        <v>31</v>
      </c>
      <c r="E389" s="10">
        <v>247</v>
      </c>
      <c r="F389" s="9">
        <f t="shared" si="6"/>
        <v>7657</v>
      </c>
      <c r="G389" s="9" t="str">
        <f>_xlfn.XLOOKUP(B389,Nursery_Inventory!B:B,Nursery_Inventory!E:E)</f>
        <v>Chennai</v>
      </c>
      <c r="H389" s="9" t="str">
        <f>_xlfn.XLOOKUP(B389,Plant_Master!A:A,Plant_Master!B:B)</f>
        <v>Lily</v>
      </c>
      <c r="I389" s="9" t="str">
        <f>_xlfn.XLOOKUP(B389,Plant_Master!A:A,Plant_Master!C:C)</f>
        <v>Flower</v>
      </c>
      <c r="J389" s="9">
        <f>_xlfn.XLOOKUP(B389,Nursery_Inventory!B:B,Nursery_Inventory!C:C)</f>
        <v>126</v>
      </c>
    </row>
    <row r="390" spans="1:10" ht="13.2" x14ac:dyDescent="0.25">
      <c r="A390" s="10">
        <v>3065</v>
      </c>
      <c r="B390" s="10">
        <v>1328</v>
      </c>
      <c r="C390" s="10" t="s">
        <v>12</v>
      </c>
      <c r="D390" s="10">
        <v>13</v>
      </c>
      <c r="E390" s="10">
        <v>52</v>
      </c>
      <c r="F390" s="9">
        <f t="shared" si="6"/>
        <v>676</v>
      </c>
      <c r="G390" s="9" t="str">
        <f>_xlfn.XLOOKUP(B390,Nursery_Inventory!B:B,Nursery_Inventory!E:E)</f>
        <v>Chennai</v>
      </c>
      <c r="H390" s="9" t="str">
        <f>_xlfn.XLOOKUP(B390,Plant_Master!A:A,Plant_Master!B:B)</f>
        <v>Bamboo</v>
      </c>
      <c r="I390" s="9" t="str">
        <f>_xlfn.XLOOKUP(B390,Plant_Master!A:A,Plant_Master!C:C)</f>
        <v>Outdoor</v>
      </c>
      <c r="J390" s="9">
        <f>_xlfn.XLOOKUP(B390,Nursery_Inventory!B:B,Nursery_Inventory!C:C)</f>
        <v>208</v>
      </c>
    </row>
    <row r="391" spans="1:10" ht="13.2" x14ac:dyDescent="0.25">
      <c r="A391" s="10">
        <v>3492</v>
      </c>
      <c r="B391" s="10">
        <v>1389</v>
      </c>
      <c r="C391" s="10" t="s">
        <v>7</v>
      </c>
      <c r="D391" s="10">
        <v>12</v>
      </c>
      <c r="E391" s="10">
        <v>427</v>
      </c>
      <c r="F391" s="9">
        <f t="shared" si="6"/>
        <v>5124</v>
      </c>
      <c r="G391" s="9" t="str">
        <f>_xlfn.XLOOKUP(B391,Nursery_Inventory!B:B,Nursery_Inventory!E:E)</f>
        <v>Mumbai</v>
      </c>
      <c r="H391" s="9" t="str">
        <f>_xlfn.XLOOKUP(B391,Plant_Master!A:A,Plant_Master!B:B)</f>
        <v>Aloe</v>
      </c>
      <c r="I391" s="9" t="str">
        <f>_xlfn.XLOOKUP(B391,Plant_Master!A:A,Plant_Master!C:C)</f>
        <v>Outdoor</v>
      </c>
      <c r="J391" s="9">
        <f>_xlfn.XLOOKUP(B391,Nursery_Inventory!B:B,Nursery_Inventory!C:C)</f>
        <v>374</v>
      </c>
    </row>
    <row r="392" spans="1:10" ht="13.2" x14ac:dyDescent="0.25">
      <c r="A392" s="10">
        <v>3464</v>
      </c>
      <c r="B392" s="10">
        <v>1045</v>
      </c>
      <c r="C392" s="10" t="s">
        <v>9</v>
      </c>
      <c r="D392" s="10">
        <v>8</v>
      </c>
      <c r="E392" s="10">
        <v>229</v>
      </c>
      <c r="F392" s="9">
        <f t="shared" si="6"/>
        <v>1832</v>
      </c>
      <c r="G392" s="9" t="str">
        <f>_xlfn.XLOOKUP(B392,Nursery_Inventory!B:B,Nursery_Inventory!E:E)</f>
        <v>Pune</v>
      </c>
      <c r="H392" s="9" t="str">
        <f>_xlfn.XLOOKUP(B392,Plant_Master!A:A,Plant_Master!B:B)</f>
        <v>Fern</v>
      </c>
      <c r="I392" s="9" t="str">
        <f>_xlfn.XLOOKUP(B392,Plant_Master!A:A,Plant_Master!C:C)</f>
        <v>Indoor</v>
      </c>
      <c r="J392" s="9">
        <f>_xlfn.XLOOKUP(B392,Nursery_Inventory!B:B,Nursery_Inventory!C:C)</f>
        <v>80</v>
      </c>
    </row>
    <row r="393" spans="1:10" ht="13.2" x14ac:dyDescent="0.25">
      <c r="A393" s="10">
        <v>3100</v>
      </c>
      <c r="B393" s="10">
        <v>1156</v>
      </c>
      <c r="C393" s="10" t="s">
        <v>7</v>
      </c>
      <c r="D393" s="10">
        <v>1</v>
      </c>
      <c r="E393" s="10">
        <v>178</v>
      </c>
      <c r="F393" s="9">
        <f t="shared" si="6"/>
        <v>178</v>
      </c>
      <c r="G393" s="9" t="str">
        <f>_xlfn.XLOOKUP(B393,Nursery_Inventory!B:B,Nursery_Inventory!E:E)</f>
        <v>Delhi</v>
      </c>
      <c r="H393" s="9" t="str">
        <f>_xlfn.XLOOKUP(B393,Plant_Master!A:A,Plant_Master!B:B)</f>
        <v>Rose</v>
      </c>
      <c r="I393" s="9" t="str">
        <f>_xlfn.XLOOKUP(B393,Plant_Master!A:A,Plant_Master!C:C)</f>
        <v>Outdoor</v>
      </c>
      <c r="J393" s="9">
        <f>_xlfn.XLOOKUP(B393,Nursery_Inventory!B:B,Nursery_Inventory!C:C)</f>
        <v>141</v>
      </c>
    </row>
    <row r="394" spans="1:10" ht="13.2" x14ac:dyDescent="0.25">
      <c r="A394" s="10">
        <v>3403</v>
      </c>
      <c r="B394" s="10">
        <v>1104</v>
      </c>
      <c r="C394" s="10" t="s">
        <v>7</v>
      </c>
      <c r="D394" s="10">
        <v>9</v>
      </c>
      <c r="E394" s="10">
        <v>255</v>
      </c>
      <c r="F394" s="9">
        <f t="shared" si="6"/>
        <v>2295</v>
      </c>
      <c r="G394" s="9" t="str">
        <f>_xlfn.XLOOKUP(B394,Nursery_Inventory!B:B,Nursery_Inventory!E:E)</f>
        <v>Bangalore</v>
      </c>
      <c r="H394" s="9" t="str">
        <f>_xlfn.XLOOKUP(B394,Plant_Master!A:A,Plant_Master!B:B)</f>
        <v>Lily</v>
      </c>
      <c r="I394" s="9" t="str">
        <f>_xlfn.XLOOKUP(B394,Plant_Master!A:A,Plant_Master!C:C)</f>
        <v>Flower</v>
      </c>
      <c r="J394" s="9">
        <f>_xlfn.XLOOKUP(B394,Nursery_Inventory!B:B,Nursery_Inventory!C:C)</f>
        <v>194</v>
      </c>
    </row>
    <row r="395" spans="1:10" ht="13.2" x14ac:dyDescent="0.25">
      <c r="A395" s="10">
        <v>3017</v>
      </c>
      <c r="B395" s="10">
        <v>1185</v>
      </c>
      <c r="C395" s="10" t="s">
        <v>14</v>
      </c>
      <c r="D395" s="10">
        <v>20</v>
      </c>
      <c r="E395" s="10">
        <v>453</v>
      </c>
      <c r="F395" s="9">
        <f t="shared" si="6"/>
        <v>9060</v>
      </c>
      <c r="G395" s="9" t="str">
        <f>_xlfn.XLOOKUP(B395,Nursery_Inventory!B:B,Nursery_Inventory!E:E)</f>
        <v>Delhi</v>
      </c>
      <c r="H395" s="9" t="str">
        <f>_xlfn.XLOOKUP(B395,Plant_Master!A:A,Plant_Master!B:B)</f>
        <v>Tulip</v>
      </c>
      <c r="I395" s="9" t="str">
        <f>_xlfn.XLOOKUP(B395,Plant_Master!A:A,Plant_Master!C:C)</f>
        <v>Medicinal</v>
      </c>
      <c r="J395" s="9">
        <f>_xlfn.XLOOKUP(B395,Nursery_Inventory!B:B,Nursery_Inventory!C:C)</f>
        <v>126</v>
      </c>
    </row>
    <row r="396" spans="1:10" ht="13.2" x14ac:dyDescent="0.25">
      <c r="A396" s="10">
        <v>3268</v>
      </c>
      <c r="B396" s="10">
        <v>1242</v>
      </c>
      <c r="C396" s="10" t="s">
        <v>7</v>
      </c>
      <c r="D396" s="10">
        <v>14</v>
      </c>
      <c r="E396" s="10">
        <v>152</v>
      </c>
      <c r="F396" s="9">
        <f t="shared" si="6"/>
        <v>2128</v>
      </c>
      <c r="G396" s="13" t="s">
        <v>79</v>
      </c>
      <c r="H396" s="9" t="str">
        <f>_xlfn.XLOOKUP(B396,Plant_Master!A:A,Plant_Master!B:B)</f>
        <v>Bamboo</v>
      </c>
      <c r="I396" s="9" t="str">
        <f>_xlfn.XLOOKUP(B396,Plant_Master!A:A,Plant_Master!C:C)</f>
        <v>Indoor</v>
      </c>
      <c r="J396" s="13" t="s">
        <v>73</v>
      </c>
    </row>
    <row r="397" spans="1:10" ht="13.2" x14ac:dyDescent="0.25">
      <c r="A397" s="10">
        <v>3399</v>
      </c>
      <c r="B397" s="10">
        <v>1269</v>
      </c>
      <c r="C397" s="10" t="s">
        <v>9</v>
      </c>
      <c r="D397" s="10">
        <v>47</v>
      </c>
      <c r="E397" s="10">
        <v>101</v>
      </c>
      <c r="F397" s="9">
        <f t="shared" si="6"/>
        <v>4747</v>
      </c>
      <c r="G397" s="9" t="str">
        <f>_xlfn.XLOOKUP(B397,Nursery_Inventory!B:B,Nursery_Inventory!E:E)</f>
        <v>Pune</v>
      </c>
      <c r="H397" s="9" t="str">
        <f>_xlfn.XLOOKUP(B397,Plant_Master!A:A,Plant_Master!B:B)</f>
        <v>Fern</v>
      </c>
      <c r="I397" s="9" t="str">
        <f>_xlfn.XLOOKUP(B397,Plant_Master!A:A,Plant_Master!C:C)</f>
        <v>Medicinal</v>
      </c>
      <c r="J397" s="9">
        <f>_xlfn.XLOOKUP(B397,Nursery_Inventory!B:B,Nursery_Inventory!C:C)</f>
        <v>77</v>
      </c>
    </row>
    <row r="398" spans="1:10" ht="13.2" x14ac:dyDescent="0.25">
      <c r="A398" s="10">
        <v>3421</v>
      </c>
      <c r="B398" s="10">
        <v>1269</v>
      </c>
      <c r="C398" s="10" t="s">
        <v>12</v>
      </c>
      <c r="D398" s="10">
        <v>5</v>
      </c>
      <c r="E398" s="10">
        <v>63</v>
      </c>
      <c r="F398" s="9">
        <f t="shared" si="6"/>
        <v>315</v>
      </c>
      <c r="G398" s="9" t="str">
        <f>_xlfn.XLOOKUP(B398,Nursery_Inventory!B:B,Nursery_Inventory!E:E)</f>
        <v>Pune</v>
      </c>
      <c r="H398" s="9" t="str">
        <f>_xlfn.XLOOKUP(B398,Plant_Master!A:A,Plant_Master!B:B)</f>
        <v>Fern</v>
      </c>
      <c r="I398" s="9" t="str">
        <f>_xlfn.XLOOKUP(B398,Plant_Master!A:A,Plant_Master!C:C)</f>
        <v>Medicinal</v>
      </c>
      <c r="J398" s="9">
        <f>_xlfn.XLOOKUP(B398,Nursery_Inventory!B:B,Nursery_Inventory!C:C)</f>
        <v>77</v>
      </c>
    </row>
    <row r="399" spans="1:10" ht="13.2" x14ac:dyDescent="0.25">
      <c r="A399" s="10">
        <v>3203</v>
      </c>
      <c r="B399" s="10">
        <v>1084</v>
      </c>
      <c r="C399" s="10" t="s">
        <v>7</v>
      </c>
      <c r="D399" s="10">
        <v>9</v>
      </c>
      <c r="E399" s="10">
        <v>231</v>
      </c>
      <c r="F399" s="9">
        <f t="shared" si="6"/>
        <v>2079</v>
      </c>
      <c r="G399" s="13" t="s">
        <v>79</v>
      </c>
      <c r="H399" s="9" t="str">
        <f>_xlfn.XLOOKUP(B399,Plant_Master!A:A,Plant_Master!B:B)</f>
        <v>Lily</v>
      </c>
      <c r="I399" s="9" t="str">
        <f>_xlfn.XLOOKUP(B399,Plant_Master!A:A,Plant_Master!C:C)</f>
        <v>Medicinal</v>
      </c>
      <c r="J399" s="13" t="s">
        <v>73</v>
      </c>
    </row>
    <row r="400" spans="1:10" ht="13.2" x14ac:dyDescent="0.25">
      <c r="A400" s="10">
        <v>3104</v>
      </c>
      <c r="B400" s="10">
        <v>1185</v>
      </c>
      <c r="C400" s="10" t="s">
        <v>25</v>
      </c>
      <c r="D400" s="10">
        <v>16</v>
      </c>
      <c r="E400" s="10">
        <v>352</v>
      </c>
      <c r="F400" s="9">
        <f t="shared" si="6"/>
        <v>5632</v>
      </c>
      <c r="G400" s="9" t="str">
        <f>_xlfn.XLOOKUP(B400,Nursery_Inventory!B:B,Nursery_Inventory!E:E)</f>
        <v>Delhi</v>
      </c>
      <c r="H400" s="9" t="str">
        <f>_xlfn.XLOOKUP(B400,Plant_Master!A:A,Plant_Master!B:B)</f>
        <v>Tulip</v>
      </c>
      <c r="I400" s="9" t="str">
        <f>_xlfn.XLOOKUP(B400,Plant_Master!A:A,Plant_Master!C:C)</f>
        <v>Medicinal</v>
      </c>
      <c r="J400" s="9">
        <f>_xlfn.XLOOKUP(B400,Nursery_Inventory!B:B,Nursery_Inventory!C:C)</f>
        <v>126</v>
      </c>
    </row>
    <row r="401" spans="1:10" ht="13.2" x14ac:dyDescent="0.25">
      <c r="A401" s="10">
        <v>3076</v>
      </c>
      <c r="B401" s="10">
        <v>1259</v>
      </c>
      <c r="C401" s="10" t="s">
        <v>14</v>
      </c>
      <c r="D401" s="10">
        <v>33</v>
      </c>
      <c r="E401" s="10">
        <v>206</v>
      </c>
      <c r="F401" s="9">
        <f t="shared" si="6"/>
        <v>6798</v>
      </c>
      <c r="G401" s="9" t="str">
        <f>_xlfn.XLOOKUP(B401,Nursery_Inventory!B:B,Nursery_Inventory!E:E)</f>
        <v>Bangalore</v>
      </c>
      <c r="H401" s="9" t="str">
        <f>_xlfn.XLOOKUP(B401,Plant_Master!A:A,Plant_Master!B:B)</f>
        <v>Rose</v>
      </c>
      <c r="I401" s="9" t="str">
        <f>_xlfn.XLOOKUP(B401,Plant_Master!A:A,Plant_Master!C:C)</f>
        <v>Succulent</v>
      </c>
      <c r="J401" s="9">
        <f>_xlfn.XLOOKUP(B401,Nursery_Inventory!B:B,Nursery_Inventory!C:C)</f>
        <v>80</v>
      </c>
    </row>
    <row r="402" spans="1:10" ht="13.2" x14ac:dyDescent="0.25">
      <c r="A402" s="10">
        <v>3034</v>
      </c>
      <c r="B402" s="10">
        <v>1095</v>
      </c>
      <c r="C402" s="10" t="s">
        <v>14</v>
      </c>
      <c r="D402" s="10">
        <v>5</v>
      </c>
      <c r="E402" s="10">
        <v>408</v>
      </c>
      <c r="F402" s="9">
        <f t="shared" si="6"/>
        <v>2040</v>
      </c>
      <c r="G402" s="13" t="s">
        <v>79</v>
      </c>
      <c r="H402" s="9" t="str">
        <f>_xlfn.XLOOKUP(B402,Plant_Master!A:A,Plant_Master!B:B)</f>
        <v>Jasmine</v>
      </c>
      <c r="I402" s="9" t="str">
        <f>_xlfn.XLOOKUP(B402,Plant_Master!A:A,Plant_Master!C:C)</f>
        <v>Succulent</v>
      </c>
      <c r="J402" s="13" t="s">
        <v>73</v>
      </c>
    </row>
    <row r="403" spans="1:10" ht="13.2" x14ac:dyDescent="0.25">
      <c r="A403" s="10">
        <v>3151</v>
      </c>
      <c r="B403" s="10">
        <v>1173</v>
      </c>
      <c r="C403" s="10" t="s">
        <v>12</v>
      </c>
      <c r="D403" s="10">
        <v>14</v>
      </c>
      <c r="E403" s="10">
        <v>143</v>
      </c>
      <c r="F403" s="9">
        <f t="shared" si="6"/>
        <v>2002</v>
      </c>
      <c r="G403" s="13" t="s">
        <v>79</v>
      </c>
      <c r="H403" s="9" t="str">
        <f>_xlfn.XLOOKUP(B403,Plant_Master!A:A,Plant_Master!B:B)</f>
        <v>Tulip</v>
      </c>
      <c r="I403" s="9" t="str">
        <f>_xlfn.XLOOKUP(B403,Plant_Master!A:A,Plant_Master!C:C)</f>
        <v>Succulent</v>
      </c>
      <c r="J403" s="13" t="s">
        <v>73</v>
      </c>
    </row>
    <row r="404" spans="1:10" ht="13.2" x14ac:dyDescent="0.25">
      <c r="A404" s="10">
        <v>3040</v>
      </c>
      <c r="B404" s="10">
        <v>1464</v>
      </c>
      <c r="C404" s="10" t="s">
        <v>7</v>
      </c>
      <c r="D404" s="10">
        <v>40</v>
      </c>
      <c r="E404" s="10">
        <v>50</v>
      </c>
      <c r="F404" s="9">
        <f t="shared" si="6"/>
        <v>2000</v>
      </c>
      <c r="G404" s="13" t="s">
        <v>79</v>
      </c>
      <c r="H404" s="9" t="str">
        <f>_xlfn.XLOOKUP(B404,Plant_Master!A:A,Plant_Master!B:B)</f>
        <v>Aloe</v>
      </c>
      <c r="I404" s="9" t="str">
        <f>_xlfn.XLOOKUP(B404,Plant_Master!A:A,Plant_Master!C:C)</f>
        <v>Succulent</v>
      </c>
      <c r="J404" s="13" t="s">
        <v>73</v>
      </c>
    </row>
    <row r="405" spans="1:10" ht="13.2" x14ac:dyDescent="0.25">
      <c r="A405" s="10">
        <v>3375</v>
      </c>
      <c r="B405" s="10">
        <v>1252</v>
      </c>
      <c r="C405" s="10" t="s">
        <v>9</v>
      </c>
      <c r="D405" s="10">
        <v>37</v>
      </c>
      <c r="E405" s="10">
        <v>57</v>
      </c>
      <c r="F405" s="9">
        <f t="shared" si="6"/>
        <v>2109</v>
      </c>
      <c r="G405" s="9" t="str">
        <f>_xlfn.XLOOKUP(B405,Nursery_Inventory!B:B,Nursery_Inventory!E:E)</f>
        <v>Bangalore</v>
      </c>
      <c r="H405" s="9" t="str">
        <f>_xlfn.XLOOKUP(B405,Plant_Master!A:A,Plant_Master!B:B)</f>
        <v>Jasmine</v>
      </c>
      <c r="I405" s="9" t="str">
        <f>_xlfn.XLOOKUP(B405,Plant_Master!A:A,Plant_Master!C:C)</f>
        <v>Flower</v>
      </c>
      <c r="J405" s="9">
        <f>_xlfn.XLOOKUP(B405,Nursery_Inventory!B:B,Nursery_Inventory!C:C)</f>
        <v>498</v>
      </c>
    </row>
    <row r="406" spans="1:10" ht="13.2" x14ac:dyDescent="0.25">
      <c r="A406" s="10">
        <v>3167</v>
      </c>
      <c r="B406" s="10">
        <v>1472</v>
      </c>
      <c r="C406" s="10" t="s">
        <v>9</v>
      </c>
      <c r="D406" s="10">
        <v>14</v>
      </c>
      <c r="E406" s="10">
        <v>138</v>
      </c>
      <c r="F406" s="9">
        <f t="shared" si="6"/>
        <v>1932</v>
      </c>
      <c r="G406" s="13" t="s">
        <v>79</v>
      </c>
      <c r="H406" s="9" t="str">
        <f>_xlfn.XLOOKUP(B406,Plant_Master!A:A,Plant_Master!B:B)</f>
        <v>Jasmine</v>
      </c>
      <c r="I406" s="9" t="str">
        <f>_xlfn.XLOOKUP(B406,Plant_Master!A:A,Plant_Master!C:C)</f>
        <v>Succulent</v>
      </c>
      <c r="J406" s="13" t="s">
        <v>73</v>
      </c>
    </row>
    <row r="407" spans="1:10" ht="13.2" x14ac:dyDescent="0.25">
      <c r="A407" s="10">
        <v>3420</v>
      </c>
      <c r="B407" s="10">
        <v>1012</v>
      </c>
      <c r="C407" s="10" t="s">
        <v>14</v>
      </c>
      <c r="D407" s="10">
        <v>43</v>
      </c>
      <c r="E407" s="10">
        <v>332</v>
      </c>
      <c r="F407" s="9">
        <f t="shared" si="6"/>
        <v>14276</v>
      </c>
      <c r="G407" s="9" t="str">
        <f>_xlfn.XLOOKUP(B407,Nursery_Inventory!B:B,Nursery_Inventory!E:E)</f>
        <v>Mumbai</v>
      </c>
      <c r="H407" s="9" t="str">
        <f>_xlfn.XLOOKUP(B407,Plant_Master!A:A,Plant_Master!B:B)</f>
        <v>Palm</v>
      </c>
      <c r="I407" s="9" t="str">
        <f>_xlfn.XLOOKUP(B407,Plant_Master!A:A,Plant_Master!C:C)</f>
        <v>Flower</v>
      </c>
      <c r="J407" s="9">
        <f>_xlfn.XLOOKUP(B407,Nursery_Inventory!B:B,Nursery_Inventory!C:C)</f>
        <v>75</v>
      </c>
    </row>
    <row r="408" spans="1:10" ht="13.2" x14ac:dyDescent="0.25">
      <c r="A408" s="10">
        <v>3182</v>
      </c>
      <c r="B408" s="10">
        <v>1170</v>
      </c>
      <c r="C408" s="10" t="s">
        <v>25</v>
      </c>
      <c r="D408" s="10">
        <v>11</v>
      </c>
      <c r="E408" s="10">
        <v>366</v>
      </c>
      <c r="F408" s="9">
        <f t="shared" si="6"/>
        <v>4026</v>
      </c>
      <c r="G408" s="9" t="str">
        <f>_xlfn.XLOOKUP(B408,Nursery_Inventory!B:B,Nursery_Inventory!E:E)</f>
        <v>Mumbai</v>
      </c>
      <c r="H408" s="9" t="str">
        <f>_xlfn.XLOOKUP(B408,Plant_Master!A:A,Plant_Master!B:B)</f>
        <v>Jasmine</v>
      </c>
      <c r="I408" s="9" t="str">
        <f>_xlfn.XLOOKUP(B408,Plant_Master!A:A,Plant_Master!C:C)</f>
        <v>Outdoor</v>
      </c>
      <c r="J408" s="9">
        <f>_xlfn.XLOOKUP(B408,Nursery_Inventory!B:B,Nursery_Inventory!C:C)</f>
        <v>202</v>
      </c>
    </row>
    <row r="409" spans="1:10" ht="13.2" x14ac:dyDescent="0.25">
      <c r="A409" s="10">
        <v>3195</v>
      </c>
      <c r="B409" s="10">
        <v>1012</v>
      </c>
      <c r="C409" s="10" t="s">
        <v>7</v>
      </c>
      <c r="D409" s="10">
        <v>7</v>
      </c>
      <c r="E409" s="10">
        <v>120</v>
      </c>
      <c r="F409" s="9">
        <f t="shared" si="6"/>
        <v>840</v>
      </c>
      <c r="G409" s="9" t="str">
        <f>_xlfn.XLOOKUP(B409,Nursery_Inventory!B:B,Nursery_Inventory!E:E)</f>
        <v>Mumbai</v>
      </c>
      <c r="H409" s="9" t="str">
        <f>_xlfn.XLOOKUP(B409,Plant_Master!A:A,Plant_Master!B:B)</f>
        <v>Palm</v>
      </c>
      <c r="I409" s="9" t="str">
        <f>_xlfn.XLOOKUP(B409,Plant_Master!A:A,Plant_Master!C:C)</f>
        <v>Flower</v>
      </c>
      <c r="J409" s="9">
        <f>_xlfn.XLOOKUP(B409,Nursery_Inventory!B:B,Nursery_Inventory!C:C)</f>
        <v>75</v>
      </c>
    </row>
    <row r="410" spans="1:10" ht="13.2" x14ac:dyDescent="0.25">
      <c r="A410" s="10">
        <v>3098</v>
      </c>
      <c r="B410" s="10">
        <v>1343</v>
      </c>
      <c r="C410" s="10" t="s">
        <v>25</v>
      </c>
      <c r="D410" s="10">
        <v>4</v>
      </c>
      <c r="E410" s="10">
        <v>472</v>
      </c>
      <c r="F410" s="9">
        <f t="shared" si="6"/>
        <v>1888</v>
      </c>
      <c r="G410" s="9" t="str">
        <f>_xlfn.XLOOKUP(B410,Nursery_Inventory!B:B,Nursery_Inventory!E:E)</f>
        <v>Mumbai</v>
      </c>
      <c r="H410" s="9" t="str">
        <f>_xlfn.XLOOKUP(B410,Plant_Master!A:A,Plant_Master!B:B)</f>
        <v>Tulip</v>
      </c>
      <c r="I410" s="9" t="str">
        <f>_xlfn.XLOOKUP(B410,Plant_Master!A:A,Plant_Master!C:C)</f>
        <v>Indoor</v>
      </c>
      <c r="J410" s="9">
        <f>_xlfn.XLOOKUP(B410,Nursery_Inventory!B:B,Nursery_Inventory!C:C)</f>
        <v>434</v>
      </c>
    </row>
    <row r="411" spans="1:10" ht="13.2" x14ac:dyDescent="0.25">
      <c r="A411" s="10">
        <v>3467</v>
      </c>
      <c r="B411" s="10">
        <v>1185</v>
      </c>
      <c r="C411" s="10" t="s">
        <v>14</v>
      </c>
      <c r="D411" s="10">
        <v>47</v>
      </c>
      <c r="E411" s="10">
        <v>92</v>
      </c>
      <c r="F411" s="9">
        <f t="shared" si="6"/>
        <v>4324</v>
      </c>
      <c r="G411" s="9" t="str">
        <f>_xlfn.XLOOKUP(B411,Nursery_Inventory!B:B,Nursery_Inventory!E:E)</f>
        <v>Delhi</v>
      </c>
      <c r="H411" s="9" t="str">
        <f>_xlfn.XLOOKUP(B411,Plant_Master!A:A,Plant_Master!B:B)</f>
        <v>Tulip</v>
      </c>
      <c r="I411" s="9" t="str">
        <f>_xlfn.XLOOKUP(B411,Plant_Master!A:A,Plant_Master!C:C)</f>
        <v>Medicinal</v>
      </c>
      <c r="J411" s="9">
        <f>_xlfn.XLOOKUP(B411,Nursery_Inventory!B:B,Nursery_Inventory!C:C)</f>
        <v>126</v>
      </c>
    </row>
    <row r="412" spans="1:10" ht="13.2" x14ac:dyDescent="0.25">
      <c r="A412" s="10">
        <v>3497</v>
      </c>
      <c r="B412" s="10">
        <v>1143</v>
      </c>
      <c r="C412" s="10" t="s">
        <v>12</v>
      </c>
      <c r="D412" s="10">
        <v>22</v>
      </c>
      <c r="E412" s="10">
        <v>357</v>
      </c>
      <c r="F412" s="9">
        <f t="shared" si="6"/>
        <v>7854</v>
      </c>
      <c r="G412" s="9" t="str">
        <f>_xlfn.XLOOKUP(B412,Nursery_Inventory!B:B,Nursery_Inventory!E:E)</f>
        <v>Pune</v>
      </c>
      <c r="H412" s="9" t="str">
        <f>_xlfn.XLOOKUP(B412,Plant_Master!A:A,Plant_Master!B:B)</f>
        <v>Tulip</v>
      </c>
      <c r="I412" s="9" t="str">
        <f>_xlfn.XLOOKUP(B412,Plant_Master!A:A,Plant_Master!C:C)</f>
        <v>Succulent</v>
      </c>
      <c r="J412" s="9">
        <f>_xlfn.XLOOKUP(B412,Nursery_Inventory!B:B,Nursery_Inventory!C:C)</f>
        <v>76</v>
      </c>
    </row>
    <row r="413" spans="1:10" ht="13.2" x14ac:dyDescent="0.25">
      <c r="A413" s="10">
        <v>3440</v>
      </c>
      <c r="B413" s="10">
        <v>1347</v>
      </c>
      <c r="C413" s="10" t="s">
        <v>9</v>
      </c>
      <c r="D413" s="10">
        <v>5</v>
      </c>
      <c r="E413" s="10">
        <v>364</v>
      </c>
      <c r="F413" s="9">
        <f t="shared" si="6"/>
        <v>1820</v>
      </c>
      <c r="G413" s="9" t="str">
        <f>_xlfn.XLOOKUP(B413,Nursery_Inventory!B:B,Nursery_Inventory!E:E)</f>
        <v>Mumbai</v>
      </c>
      <c r="H413" s="9" t="str">
        <f>_xlfn.XLOOKUP(B413,Plant_Master!A:A,Plant_Master!B:B)</f>
        <v>Bamboo</v>
      </c>
      <c r="I413" s="9" t="str">
        <f>_xlfn.XLOOKUP(B413,Plant_Master!A:A,Plant_Master!C:C)</f>
        <v>Indoor</v>
      </c>
      <c r="J413" s="9">
        <f>_xlfn.XLOOKUP(B413,Nursery_Inventory!B:B,Nursery_Inventory!C:C)</f>
        <v>74</v>
      </c>
    </row>
    <row r="414" spans="1:10" ht="13.2" x14ac:dyDescent="0.25">
      <c r="A414" s="10">
        <v>3435</v>
      </c>
      <c r="B414" s="10">
        <v>1365</v>
      </c>
      <c r="C414" s="10" t="s">
        <v>12</v>
      </c>
      <c r="D414" s="10">
        <v>11</v>
      </c>
      <c r="E414" s="10">
        <v>215</v>
      </c>
      <c r="F414" s="9">
        <f t="shared" si="6"/>
        <v>2365</v>
      </c>
      <c r="G414" s="9" t="str">
        <f>_xlfn.XLOOKUP(B414,Nursery_Inventory!B:B,Nursery_Inventory!E:E)</f>
        <v>Chennai</v>
      </c>
      <c r="H414" s="9" t="str">
        <f>_xlfn.XLOOKUP(B414,Plant_Master!A:A,Plant_Master!B:B)</f>
        <v>Rose</v>
      </c>
      <c r="I414" s="9" t="str">
        <f>_xlfn.XLOOKUP(B414,Plant_Master!A:A,Plant_Master!C:C)</f>
        <v>Outdoor</v>
      </c>
      <c r="J414" s="9">
        <f>_xlfn.XLOOKUP(B414,Nursery_Inventory!B:B,Nursery_Inventory!C:C)</f>
        <v>261</v>
      </c>
    </row>
    <row r="415" spans="1:10" ht="13.2" x14ac:dyDescent="0.25">
      <c r="A415" s="10">
        <v>3133</v>
      </c>
      <c r="B415" s="10">
        <v>1402</v>
      </c>
      <c r="C415" s="10" t="s">
        <v>12</v>
      </c>
      <c r="D415" s="10">
        <v>10</v>
      </c>
      <c r="E415" s="10">
        <v>476</v>
      </c>
      <c r="F415" s="9">
        <f t="shared" si="6"/>
        <v>4760</v>
      </c>
      <c r="G415" s="13" t="s">
        <v>79</v>
      </c>
      <c r="H415" s="9" t="str">
        <f>_xlfn.XLOOKUP(B415,Plant_Master!A:A,Plant_Master!B:B)</f>
        <v>Rose</v>
      </c>
      <c r="I415" s="9" t="str">
        <f>_xlfn.XLOOKUP(B415,Plant_Master!A:A,Plant_Master!C:C)</f>
        <v>Outdoor</v>
      </c>
      <c r="J415" s="13" t="s">
        <v>73</v>
      </c>
    </row>
    <row r="416" spans="1:10" ht="13.2" x14ac:dyDescent="0.25">
      <c r="A416" s="10">
        <v>3153</v>
      </c>
      <c r="B416" s="10">
        <v>1136</v>
      </c>
      <c r="C416" s="10" t="s">
        <v>14</v>
      </c>
      <c r="D416" s="10">
        <v>21</v>
      </c>
      <c r="E416" s="10">
        <v>84</v>
      </c>
      <c r="F416" s="9">
        <f t="shared" si="6"/>
        <v>1764</v>
      </c>
      <c r="G416" s="9" t="str">
        <f>_xlfn.XLOOKUP(B416,Nursery_Inventory!B:B,Nursery_Inventory!E:E)</f>
        <v>Mumbai</v>
      </c>
      <c r="H416" s="9" t="str">
        <f>_xlfn.XLOOKUP(B416,Plant_Master!A:A,Plant_Master!B:B)</f>
        <v>Orchid</v>
      </c>
      <c r="I416" s="9" t="str">
        <f>_xlfn.XLOOKUP(B416,Plant_Master!A:A,Plant_Master!C:C)</f>
        <v>Indoor</v>
      </c>
      <c r="J416" s="9">
        <f>_xlfn.XLOOKUP(B416,Nursery_Inventory!B:B,Nursery_Inventory!C:C)</f>
        <v>88</v>
      </c>
    </row>
    <row r="417" spans="1:10" ht="13.2" x14ac:dyDescent="0.25">
      <c r="A417" s="10">
        <v>3318</v>
      </c>
      <c r="B417" s="10">
        <v>1176</v>
      </c>
      <c r="C417" s="10" t="s">
        <v>14</v>
      </c>
      <c r="D417" s="10">
        <v>46</v>
      </c>
      <c r="E417" s="10">
        <v>100</v>
      </c>
      <c r="F417" s="9">
        <f t="shared" si="6"/>
        <v>4600</v>
      </c>
      <c r="G417" s="9" t="str">
        <f>_xlfn.XLOOKUP(B417,Nursery_Inventory!B:B,Nursery_Inventory!E:E)</f>
        <v>Pune</v>
      </c>
      <c r="H417" s="9" t="str">
        <f>_xlfn.XLOOKUP(B417,Plant_Master!A:A,Plant_Master!B:B)</f>
        <v>Orchid</v>
      </c>
      <c r="I417" s="9" t="str">
        <f>_xlfn.XLOOKUP(B417,Plant_Master!A:A,Plant_Master!C:C)</f>
        <v>Succulent</v>
      </c>
      <c r="J417" s="9">
        <f>_xlfn.XLOOKUP(B417,Nursery_Inventory!B:B,Nursery_Inventory!C:C)</f>
        <v>71</v>
      </c>
    </row>
    <row r="418" spans="1:10" ht="13.2" x14ac:dyDescent="0.25">
      <c r="A418" s="10">
        <v>3370</v>
      </c>
      <c r="B418" s="10">
        <v>1029</v>
      </c>
      <c r="C418" s="10" t="s">
        <v>25</v>
      </c>
      <c r="D418" s="10">
        <v>10</v>
      </c>
      <c r="E418" s="10">
        <v>181</v>
      </c>
      <c r="F418" s="9">
        <f t="shared" si="6"/>
        <v>1810</v>
      </c>
      <c r="G418" s="9" t="str">
        <f>_xlfn.XLOOKUP(B418,Nursery_Inventory!B:B,Nursery_Inventory!E:E)</f>
        <v>Mumbai</v>
      </c>
      <c r="H418" s="9" t="str">
        <f>_xlfn.XLOOKUP(B418,Plant_Master!A:A,Plant_Master!B:B)</f>
        <v>Bamboo</v>
      </c>
      <c r="I418" s="9" t="str">
        <f>_xlfn.XLOOKUP(B418,Plant_Master!A:A,Plant_Master!C:C)</f>
        <v>Outdoor</v>
      </c>
      <c r="J418" s="9">
        <f>_xlfn.XLOOKUP(B418,Nursery_Inventory!B:B,Nursery_Inventory!C:C)</f>
        <v>444</v>
      </c>
    </row>
    <row r="419" spans="1:10" ht="13.2" x14ac:dyDescent="0.25">
      <c r="A419" s="10">
        <v>3457</v>
      </c>
      <c r="B419" s="10">
        <v>1415</v>
      </c>
      <c r="C419" s="10" t="s">
        <v>9</v>
      </c>
      <c r="D419" s="10">
        <v>8</v>
      </c>
      <c r="E419" s="10">
        <v>212</v>
      </c>
      <c r="F419" s="9">
        <f t="shared" si="6"/>
        <v>1696</v>
      </c>
      <c r="G419" s="13" t="s">
        <v>79</v>
      </c>
      <c r="H419" s="9" t="str">
        <f>_xlfn.XLOOKUP(B419,Plant_Master!A:A,Plant_Master!B:B)</f>
        <v>Cactus</v>
      </c>
      <c r="I419" s="9" t="str">
        <f>_xlfn.XLOOKUP(B419,Plant_Master!A:A,Plant_Master!C:C)</f>
        <v>Indoor</v>
      </c>
      <c r="J419" s="13" t="s">
        <v>73</v>
      </c>
    </row>
    <row r="420" spans="1:10" ht="13.2" x14ac:dyDescent="0.25">
      <c r="A420" s="10">
        <v>3163</v>
      </c>
      <c r="B420" s="10">
        <v>1125</v>
      </c>
      <c r="C420" s="10" t="s">
        <v>12</v>
      </c>
      <c r="D420" s="10">
        <v>26</v>
      </c>
      <c r="E420" s="10">
        <v>291</v>
      </c>
      <c r="F420" s="9">
        <f t="shared" si="6"/>
        <v>7566</v>
      </c>
      <c r="G420" s="9" t="str">
        <f>_xlfn.XLOOKUP(B420,Nursery_Inventory!B:B,Nursery_Inventory!E:E)</f>
        <v>Pune</v>
      </c>
      <c r="H420" s="9" t="str">
        <f>_xlfn.XLOOKUP(B420,Plant_Master!A:A,Plant_Master!B:B)</f>
        <v>Tulip</v>
      </c>
      <c r="I420" s="9" t="str">
        <f>_xlfn.XLOOKUP(B420,Plant_Master!A:A,Plant_Master!C:C)</f>
        <v>Flower</v>
      </c>
      <c r="J420" s="9">
        <f>_xlfn.XLOOKUP(B420,Nursery_Inventory!B:B,Nursery_Inventory!C:C)</f>
        <v>67</v>
      </c>
    </row>
    <row r="421" spans="1:10" ht="13.2" x14ac:dyDescent="0.25">
      <c r="A421" s="10">
        <v>3454</v>
      </c>
      <c r="B421" s="10">
        <v>1374</v>
      </c>
      <c r="C421" s="10" t="s">
        <v>25</v>
      </c>
      <c r="D421" s="10">
        <v>10</v>
      </c>
      <c r="E421" s="10">
        <v>171</v>
      </c>
      <c r="F421" s="9">
        <f t="shared" si="6"/>
        <v>1710</v>
      </c>
      <c r="G421" s="13" t="s">
        <v>79</v>
      </c>
      <c r="H421" s="9" t="str">
        <f>_xlfn.XLOOKUP(B421,Plant_Master!A:A,Plant_Master!B:B)</f>
        <v>Aloe</v>
      </c>
      <c r="I421" s="9" t="str">
        <f>_xlfn.XLOOKUP(B421,Plant_Master!A:A,Plant_Master!C:C)</f>
        <v>Outdoor</v>
      </c>
      <c r="J421" s="13" t="s">
        <v>73</v>
      </c>
    </row>
    <row r="422" spans="1:10" ht="13.2" x14ac:dyDescent="0.25">
      <c r="A422" s="10">
        <v>3389</v>
      </c>
      <c r="B422" s="10">
        <v>1034</v>
      </c>
      <c r="C422" s="10" t="s">
        <v>12</v>
      </c>
      <c r="D422" s="10">
        <v>24</v>
      </c>
      <c r="E422" s="10">
        <v>69</v>
      </c>
      <c r="F422" s="9">
        <f t="shared" si="6"/>
        <v>1656</v>
      </c>
      <c r="G422" s="9" t="str">
        <f>_xlfn.XLOOKUP(B422,Nursery_Inventory!B:B,Nursery_Inventory!E:E)</f>
        <v>Chennai</v>
      </c>
      <c r="H422" s="9" t="str">
        <f>_xlfn.XLOOKUP(B422,Plant_Master!A:A,Plant_Master!B:B)</f>
        <v>Aloe</v>
      </c>
      <c r="I422" s="9" t="str">
        <f>_xlfn.XLOOKUP(B422,Plant_Master!A:A,Plant_Master!C:C)</f>
        <v>Succulent</v>
      </c>
      <c r="J422" s="9">
        <f>_xlfn.XLOOKUP(B422,Nursery_Inventory!B:B,Nursery_Inventory!C:C)</f>
        <v>133</v>
      </c>
    </row>
    <row r="423" spans="1:10" ht="13.2" x14ac:dyDescent="0.25">
      <c r="A423" s="10">
        <v>3009</v>
      </c>
      <c r="B423" s="10">
        <v>1065</v>
      </c>
      <c r="C423" s="10" t="s">
        <v>25</v>
      </c>
      <c r="D423" s="10">
        <v>5</v>
      </c>
      <c r="E423" s="10">
        <v>329</v>
      </c>
      <c r="F423" s="9">
        <f t="shared" si="6"/>
        <v>1645</v>
      </c>
      <c r="G423" s="9" t="str">
        <f>_xlfn.XLOOKUP(B423,Nursery_Inventory!B:B,Nursery_Inventory!E:E)</f>
        <v>Bangalore</v>
      </c>
      <c r="H423" s="9" t="str">
        <f>_xlfn.XLOOKUP(B423,Plant_Master!A:A,Plant_Master!B:B)</f>
        <v>Aloe</v>
      </c>
      <c r="I423" s="9" t="str">
        <f>_xlfn.XLOOKUP(B423,Plant_Master!A:A,Plant_Master!C:C)</f>
        <v>Succulent</v>
      </c>
      <c r="J423" s="9">
        <f>_xlfn.XLOOKUP(B423,Nursery_Inventory!B:B,Nursery_Inventory!C:C)</f>
        <v>131</v>
      </c>
    </row>
    <row r="424" spans="1:10" ht="13.2" x14ac:dyDescent="0.25">
      <c r="A424" s="10">
        <v>3048</v>
      </c>
      <c r="B424" s="10">
        <v>1109</v>
      </c>
      <c r="C424" s="10" t="s">
        <v>25</v>
      </c>
      <c r="D424" s="10">
        <v>11</v>
      </c>
      <c r="E424" s="10">
        <v>147</v>
      </c>
      <c r="F424" s="9">
        <f t="shared" si="6"/>
        <v>1617</v>
      </c>
      <c r="G424" s="9" t="str">
        <f>_xlfn.XLOOKUP(B424,Nursery_Inventory!B:B,Nursery_Inventory!E:E)</f>
        <v>Delhi</v>
      </c>
      <c r="H424" s="9" t="str">
        <f>_xlfn.XLOOKUP(B424,Plant_Master!A:A,Plant_Master!B:B)</f>
        <v>Bamboo</v>
      </c>
      <c r="I424" s="9" t="str">
        <f>_xlfn.XLOOKUP(B424,Plant_Master!A:A,Plant_Master!C:C)</f>
        <v>Medicinal</v>
      </c>
      <c r="J424" s="9">
        <f>_xlfn.XLOOKUP(B424,Nursery_Inventory!B:B,Nursery_Inventory!C:C)</f>
        <v>109</v>
      </c>
    </row>
    <row r="425" spans="1:10" ht="13.2" x14ac:dyDescent="0.25">
      <c r="A425" s="10">
        <v>3089</v>
      </c>
      <c r="B425" s="10">
        <v>1147</v>
      </c>
      <c r="C425" s="10" t="s">
        <v>14</v>
      </c>
      <c r="D425" s="10">
        <v>26</v>
      </c>
      <c r="E425" s="10">
        <v>59</v>
      </c>
      <c r="F425" s="9">
        <f t="shared" si="6"/>
        <v>1534</v>
      </c>
      <c r="G425" s="13" t="s">
        <v>79</v>
      </c>
      <c r="H425" s="9" t="str">
        <f>_xlfn.XLOOKUP(B425,Plant_Master!A:A,Plant_Master!B:B)</f>
        <v>Tulip</v>
      </c>
      <c r="I425" s="9" t="str">
        <f>_xlfn.XLOOKUP(B425,Plant_Master!A:A,Plant_Master!C:C)</f>
        <v>Indoor</v>
      </c>
      <c r="J425" s="13" t="s">
        <v>73</v>
      </c>
    </row>
    <row r="426" spans="1:10" ht="13.2" x14ac:dyDescent="0.25">
      <c r="A426" s="10">
        <v>3321</v>
      </c>
      <c r="B426" s="10">
        <v>1403</v>
      </c>
      <c r="C426" s="10" t="s">
        <v>14</v>
      </c>
      <c r="D426" s="10">
        <v>3</v>
      </c>
      <c r="E426" s="10">
        <v>500</v>
      </c>
      <c r="F426" s="9">
        <f t="shared" si="6"/>
        <v>1500</v>
      </c>
      <c r="G426" s="13" t="s">
        <v>79</v>
      </c>
      <c r="H426" s="9" t="str">
        <f>_xlfn.XLOOKUP(B426,Plant_Master!A:A,Plant_Master!B:B)</f>
        <v>Rose</v>
      </c>
      <c r="I426" s="9" t="str">
        <f>_xlfn.XLOOKUP(B426,Plant_Master!A:A,Plant_Master!C:C)</f>
        <v>Indoor</v>
      </c>
      <c r="J426" s="13" t="s">
        <v>73</v>
      </c>
    </row>
    <row r="427" spans="1:10" ht="13.2" x14ac:dyDescent="0.25">
      <c r="A427" s="10">
        <v>3015</v>
      </c>
      <c r="B427" s="10">
        <v>1006</v>
      </c>
      <c r="C427" s="10" t="s">
        <v>25</v>
      </c>
      <c r="D427" s="10">
        <v>36</v>
      </c>
      <c r="E427" s="10">
        <v>265</v>
      </c>
      <c r="F427" s="9">
        <f t="shared" si="6"/>
        <v>9540</v>
      </c>
      <c r="G427" s="9" t="str">
        <f>_xlfn.XLOOKUP(B427,Nursery_Inventory!B:B,Nursery_Inventory!E:E)</f>
        <v>Delhi</v>
      </c>
      <c r="H427" s="9" t="str">
        <f>_xlfn.XLOOKUP(B427,Plant_Master!A:A,Plant_Master!B:B)</f>
        <v>Bamboo</v>
      </c>
      <c r="I427" s="9" t="str">
        <f>_xlfn.XLOOKUP(B427,Plant_Master!A:A,Plant_Master!C:C)</f>
        <v>Succulent</v>
      </c>
      <c r="J427" s="9">
        <f>_xlfn.XLOOKUP(B427,Nursery_Inventory!B:B,Nursery_Inventory!C:C)</f>
        <v>92</v>
      </c>
    </row>
    <row r="428" spans="1:10" ht="13.2" x14ac:dyDescent="0.25">
      <c r="A428" s="10">
        <v>3217</v>
      </c>
      <c r="B428" s="10">
        <v>1452</v>
      </c>
      <c r="C428" s="10" t="s">
        <v>7</v>
      </c>
      <c r="D428" s="10">
        <v>27</v>
      </c>
      <c r="E428" s="10">
        <v>129</v>
      </c>
      <c r="F428" s="9">
        <f t="shared" si="6"/>
        <v>3483</v>
      </c>
      <c r="G428" s="9" t="str">
        <f>_xlfn.XLOOKUP(B428,Nursery_Inventory!B:B,Nursery_Inventory!E:E)</f>
        <v>Pune</v>
      </c>
      <c r="H428" s="9" t="str">
        <f>_xlfn.XLOOKUP(B428,Plant_Master!A:A,Plant_Master!B:B)</f>
        <v>Palm</v>
      </c>
      <c r="I428" s="9" t="str">
        <f>_xlfn.XLOOKUP(B428,Plant_Master!A:A,Plant_Master!C:C)</f>
        <v>Flower</v>
      </c>
      <c r="J428" s="9">
        <f>_xlfn.XLOOKUP(B428,Nursery_Inventory!B:B,Nursery_Inventory!C:C)</f>
        <v>65</v>
      </c>
    </row>
    <row r="429" spans="1:10" ht="13.2" x14ac:dyDescent="0.25">
      <c r="A429" s="10">
        <v>3255</v>
      </c>
      <c r="B429" s="10">
        <v>1452</v>
      </c>
      <c r="C429" s="10" t="s">
        <v>7</v>
      </c>
      <c r="D429" s="10">
        <v>4</v>
      </c>
      <c r="E429" s="10">
        <v>146</v>
      </c>
      <c r="F429" s="9">
        <f t="shared" si="6"/>
        <v>584</v>
      </c>
      <c r="G429" s="9" t="str">
        <f>_xlfn.XLOOKUP(B429,Nursery_Inventory!B:B,Nursery_Inventory!E:E)</f>
        <v>Pune</v>
      </c>
      <c r="H429" s="9" t="str">
        <f>_xlfn.XLOOKUP(B429,Plant_Master!A:A,Plant_Master!B:B)</f>
        <v>Palm</v>
      </c>
      <c r="I429" s="9" t="str">
        <f>_xlfn.XLOOKUP(B429,Plant_Master!A:A,Plant_Master!C:C)</f>
        <v>Flower</v>
      </c>
      <c r="J429" s="9">
        <f>_xlfn.XLOOKUP(B429,Nursery_Inventory!B:B,Nursery_Inventory!C:C)</f>
        <v>65</v>
      </c>
    </row>
    <row r="430" spans="1:10" ht="13.2" x14ac:dyDescent="0.25">
      <c r="A430" s="10">
        <v>3113</v>
      </c>
      <c r="B430" s="10">
        <v>1006</v>
      </c>
      <c r="C430" s="10" t="s">
        <v>9</v>
      </c>
      <c r="D430" s="10">
        <v>32</v>
      </c>
      <c r="E430" s="10">
        <v>221</v>
      </c>
      <c r="F430" s="9">
        <f t="shared" si="6"/>
        <v>7072</v>
      </c>
      <c r="G430" s="9" t="str">
        <f>_xlfn.XLOOKUP(B430,Nursery_Inventory!B:B,Nursery_Inventory!E:E)</f>
        <v>Delhi</v>
      </c>
      <c r="H430" s="9" t="str">
        <f>_xlfn.XLOOKUP(B430,Plant_Master!A:A,Plant_Master!B:B)</f>
        <v>Bamboo</v>
      </c>
      <c r="I430" s="9" t="str">
        <f>_xlfn.XLOOKUP(B430,Plant_Master!A:A,Plant_Master!C:C)</f>
        <v>Succulent</v>
      </c>
      <c r="J430" s="9">
        <f>_xlfn.XLOOKUP(B430,Nursery_Inventory!B:B,Nursery_Inventory!C:C)</f>
        <v>92</v>
      </c>
    </row>
    <row r="431" spans="1:10" ht="13.2" x14ac:dyDescent="0.25">
      <c r="A431" s="10">
        <v>3304</v>
      </c>
      <c r="B431" s="10">
        <v>1159</v>
      </c>
      <c r="C431" s="10" t="s">
        <v>9</v>
      </c>
      <c r="D431" s="10">
        <v>30</v>
      </c>
      <c r="E431" s="10">
        <v>89</v>
      </c>
      <c r="F431" s="9">
        <f t="shared" si="6"/>
        <v>2670</v>
      </c>
      <c r="G431" s="9" t="str">
        <f>_xlfn.XLOOKUP(B431,Nursery_Inventory!B:B,Nursery_Inventory!E:E)</f>
        <v>Pune</v>
      </c>
      <c r="H431" s="9" t="str">
        <f>_xlfn.XLOOKUP(B431,Plant_Master!A:A,Plant_Master!B:B)</f>
        <v>Tulip</v>
      </c>
      <c r="I431" s="9" t="str">
        <f>_xlfn.XLOOKUP(B431,Plant_Master!A:A,Plant_Master!C:C)</f>
        <v>Indoor</v>
      </c>
      <c r="J431" s="9">
        <f>_xlfn.XLOOKUP(B431,Nursery_Inventory!B:B,Nursery_Inventory!C:C)</f>
        <v>62</v>
      </c>
    </row>
    <row r="432" spans="1:10" ht="13.2" x14ac:dyDescent="0.25">
      <c r="A432" s="10">
        <v>3465</v>
      </c>
      <c r="B432" s="10">
        <v>1018</v>
      </c>
      <c r="C432" s="10" t="s">
        <v>7</v>
      </c>
      <c r="D432" s="10">
        <v>34</v>
      </c>
      <c r="E432" s="10">
        <v>336</v>
      </c>
      <c r="F432" s="9">
        <f t="shared" si="6"/>
        <v>11424</v>
      </c>
      <c r="G432" s="9" t="str">
        <f>_xlfn.XLOOKUP(B432,Nursery_Inventory!B:B,Nursery_Inventory!E:E)</f>
        <v>Pune</v>
      </c>
      <c r="H432" s="9" t="str">
        <f>_xlfn.XLOOKUP(B432,Plant_Master!A:A,Plant_Master!B:B)</f>
        <v>Rose</v>
      </c>
      <c r="I432" s="9" t="str">
        <f>_xlfn.XLOOKUP(B432,Plant_Master!A:A,Plant_Master!C:C)</f>
        <v>Medicinal</v>
      </c>
      <c r="J432" s="9">
        <f>_xlfn.XLOOKUP(B432,Nursery_Inventory!B:B,Nursery_Inventory!C:C)</f>
        <v>59</v>
      </c>
    </row>
    <row r="433" spans="1:10" ht="13.2" x14ac:dyDescent="0.25">
      <c r="A433" s="10">
        <v>3468</v>
      </c>
      <c r="B433" s="10">
        <v>1169</v>
      </c>
      <c r="C433" s="10" t="s">
        <v>7</v>
      </c>
      <c r="D433" s="10">
        <v>9</v>
      </c>
      <c r="E433" s="10">
        <v>193</v>
      </c>
      <c r="F433" s="9">
        <f t="shared" si="6"/>
        <v>1737</v>
      </c>
      <c r="G433" s="9" t="str">
        <f>_xlfn.XLOOKUP(B433,Nursery_Inventory!B:B,Nursery_Inventory!E:E)</f>
        <v>Mumbai</v>
      </c>
      <c r="H433" s="9" t="str">
        <f>_xlfn.XLOOKUP(B433,Plant_Master!A:A,Plant_Master!B:B)</f>
        <v>Lily</v>
      </c>
      <c r="I433" s="9" t="str">
        <f>_xlfn.XLOOKUP(B433,Plant_Master!A:A,Plant_Master!C:C)</f>
        <v>Outdoor</v>
      </c>
      <c r="J433" s="9">
        <f>_xlfn.XLOOKUP(B433,Nursery_Inventory!B:B,Nursery_Inventory!C:C)</f>
        <v>20</v>
      </c>
    </row>
    <row r="434" spans="1:10" ht="13.2" x14ac:dyDescent="0.25">
      <c r="A434" s="10">
        <v>3168</v>
      </c>
      <c r="B434" s="10">
        <v>1298</v>
      </c>
      <c r="C434" s="10" t="s">
        <v>25</v>
      </c>
      <c r="D434" s="10">
        <v>4</v>
      </c>
      <c r="E434" s="10">
        <v>322</v>
      </c>
      <c r="F434" s="9">
        <f t="shared" si="6"/>
        <v>1288</v>
      </c>
      <c r="G434" s="13" t="s">
        <v>79</v>
      </c>
      <c r="H434" s="9" t="str">
        <f>_xlfn.XLOOKUP(B434,Plant_Master!A:A,Plant_Master!B:B)</f>
        <v>Palm</v>
      </c>
      <c r="I434" s="9" t="str">
        <f>_xlfn.XLOOKUP(B434,Plant_Master!A:A,Plant_Master!C:C)</f>
        <v>Medicinal</v>
      </c>
      <c r="J434" s="13" t="s">
        <v>73</v>
      </c>
    </row>
    <row r="435" spans="1:10" ht="13.2" x14ac:dyDescent="0.25">
      <c r="A435" s="10">
        <v>3258</v>
      </c>
      <c r="B435" s="10">
        <v>1296</v>
      </c>
      <c r="C435" s="10" t="s">
        <v>25</v>
      </c>
      <c r="D435" s="10">
        <v>8</v>
      </c>
      <c r="E435" s="10">
        <v>126</v>
      </c>
      <c r="F435" s="9">
        <f t="shared" si="6"/>
        <v>1008</v>
      </c>
      <c r="G435" s="13" t="s">
        <v>79</v>
      </c>
      <c r="H435" s="9" t="str">
        <f>_xlfn.XLOOKUP(B435,Plant_Master!A:A,Plant_Master!B:B)</f>
        <v>Jasmine</v>
      </c>
      <c r="I435" s="9" t="str">
        <f>_xlfn.XLOOKUP(B435,Plant_Master!A:A,Plant_Master!C:C)</f>
        <v>Outdoor</v>
      </c>
      <c r="J435" s="13" t="s">
        <v>73</v>
      </c>
    </row>
    <row r="436" spans="1:10" ht="13.2" x14ac:dyDescent="0.25">
      <c r="A436" s="10">
        <v>3324</v>
      </c>
      <c r="B436" s="10">
        <v>1065</v>
      </c>
      <c r="C436" s="10" t="s">
        <v>9</v>
      </c>
      <c r="D436" s="10">
        <v>5</v>
      </c>
      <c r="E436" s="10">
        <v>249</v>
      </c>
      <c r="F436" s="9">
        <f t="shared" si="6"/>
        <v>1245</v>
      </c>
      <c r="G436" s="9" t="str">
        <f>_xlfn.XLOOKUP(B436,Nursery_Inventory!B:B,Nursery_Inventory!E:E)</f>
        <v>Bangalore</v>
      </c>
      <c r="H436" s="9" t="str">
        <f>_xlfn.XLOOKUP(B436,Plant_Master!A:A,Plant_Master!B:B)</f>
        <v>Aloe</v>
      </c>
      <c r="I436" s="9" t="str">
        <f>_xlfn.XLOOKUP(B436,Plant_Master!A:A,Plant_Master!C:C)</f>
        <v>Succulent</v>
      </c>
      <c r="J436" s="9">
        <f>_xlfn.XLOOKUP(B436,Nursery_Inventory!B:B,Nursery_Inventory!C:C)</f>
        <v>131</v>
      </c>
    </row>
    <row r="437" spans="1:10" ht="13.2" x14ac:dyDescent="0.25">
      <c r="A437" s="10">
        <v>3186</v>
      </c>
      <c r="B437" s="10">
        <v>1361</v>
      </c>
      <c r="C437" s="10" t="s">
        <v>9</v>
      </c>
      <c r="D437" s="10">
        <v>4</v>
      </c>
      <c r="E437" s="10">
        <v>298</v>
      </c>
      <c r="F437" s="9">
        <f t="shared" si="6"/>
        <v>1192</v>
      </c>
      <c r="G437" s="13" t="s">
        <v>79</v>
      </c>
      <c r="H437" s="9" t="str">
        <f>_xlfn.XLOOKUP(B437,Plant_Master!A:A,Plant_Master!B:B)</f>
        <v>Jasmine</v>
      </c>
      <c r="I437" s="9" t="str">
        <f>_xlfn.XLOOKUP(B437,Plant_Master!A:A,Plant_Master!C:C)</f>
        <v>Medicinal</v>
      </c>
      <c r="J437" s="13" t="s">
        <v>73</v>
      </c>
    </row>
    <row r="438" spans="1:10" ht="13.2" x14ac:dyDescent="0.25">
      <c r="A438" s="10">
        <v>3283</v>
      </c>
      <c r="B438" s="10">
        <v>1254</v>
      </c>
      <c r="C438" s="10" t="s">
        <v>7</v>
      </c>
      <c r="D438" s="10">
        <v>6</v>
      </c>
      <c r="E438" s="10">
        <v>116</v>
      </c>
      <c r="F438" s="9">
        <f t="shared" si="6"/>
        <v>696</v>
      </c>
      <c r="G438" s="9" t="str">
        <f>_xlfn.XLOOKUP(B438,Nursery_Inventory!B:B,Nursery_Inventory!E:E)</f>
        <v>Chennai</v>
      </c>
      <c r="H438" s="9" t="str">
        <f>_xlfn.XLOOKUP(B438,Plant_Master!A:A,Plant_Master!B:B)</f>
        <v>Orchid</v>
      </c>
      <c r="I438" s="9" t="str">
        <f>_xlfn.XLOOKUP(B438,Plant_Master!A:A,Plant_Master!C:C)</f>
        <v>Outdoor</v>
      </c>
      <c r="J438" s="9">
        <f>_xlfn.XLOOKUP(B438,Nursery_Inventory!B:B,Nursery_Inventory!C:C)</f>
        <v>136</v>
      </c>
    </row>
    <row r="439" spans="1:10" ht="13.2" x14ac:dyDescent="0.25">
      <c r="A439" s="10">
        <v>3477</v>
      </c>
      <c r="B439" s="10">
        <v>1397</v>
      </c>
      <c r="C439" s="10" t="s">
        <v>12</v>
      </c>
      <c r="D439" s="10">
        <v>6</v>
      </c>
      <c r="E439" s="10">
        <v>187</v>
      </c>
      <c r="F439" s="9">
        <f t="shared" si="6"/>
        <v>1122</v>
      </c>
      <c r="G439" s="9" t="str">
        <f>_xlfn.XLOOKUP(B439,Nursery_Inventory!B:B,Nursery_Inventory!E:E)</f>
        <v>Chennai</v>
      </c>
      <c r="H439" s="9" t="str">
        <f>_xlfn.XLOOKUP(B439,Plant_Master!A:A,Plant_Master!B:B)</f>
        <v>Fern</v>
      </c>
      <c r="I439" s="9" t="str">
        <f>_xlfn.XLOOKUP(B439,Plant_Master!A:A,Plant_Master!C:C)</f>
        <v>Medicinal</v>
      </c>
      <c r="J439" s="9">
        <f>_xlfn.XLOOKUP(B439,Nursery_Inventory!B:B,Nursery_Inventory!C:C)</f>
        <v>38</v>
      </c>
    </row>
    <row r="440" spans="1:10" ht="13.2" x14ac:dyDescent="0.25">
      <c r="A440" s="10">
        <v>3112</v>
      </c>
      <c r="B440" s="10">
        <v>1373</v>
      </c>
      <c r="C440" s="10" t="s">
        <v>7</v>
      </c>
      <c r="D440" s="10">
        <v>5</v>
      </c>
      <c r="E440" s="10">
        <v>219</v>
      </c>
      <c r="F440" s="9">
        <f t="shared" si="6"/>
        <v>1095</v>
      </c>
      <c r="G440" s="9" t="str">
        <f>_xlfn.XLOOKUP(B440,Nursery_Inventory!B:B,Nursery_Inventory!E:E)</f>
        <v>Bangalore</v>
      </c>
      <c r="H440" s="9" t="str">
        <f>_xlfn.XLOOKUP(B440,Plant_Master!A:A,Plant_Master!B:B)</f>
        <v>Aloe</v>
      </c>
      <c r="I440" s="9" t="str">
        <f>_xlfn.XLOOKUP(B440,Plant_Master!A:A,Plant_Master!C:C)</f>
        <v>Medicinal</v>
      </c>
      <c r="J440" s="9">
        <f>_xlfn.XLOOKUP(B440,Nursery_Inventory!B:B,Nursery_Inventory!C:C)</f>
        <v>459</v>
      </c>
    </row>
    <row r="441" spans="1:10" ht="13.2" x14ac:dyDescent="0.25">
      <c r="A441" s="10">
        <v>3262</v>
      </c>
      <c r="B441" s="10">
        <v>1494</v>
      </c>
      <c r="C441" s="10" t="s">
        <v>7</v>
      </c>
      <c r="D441" s="10">
        <v>5</v>
      </c>
      <c r="E441" s="10">
        <v>66</v>
      </c>
      <c r="F441" s="9">
        <f t="shared" si="6"/>
        <v>330</v>
      </c>
      <c r="G441" s="9" t="str">
        <f>_xlfn.XLOOKUP(B441,Nursery_Inventory!B:B,Nursery_Inventory!E:E)</f>
        <v>Chennai</v>
      </c>
      <c r="H441" s="9" t="str">
        <f>_xlfn.XLOOKUP(B441,Plant_Master!A:A,Plant_Master!B:B)</f>
        <v>Aloe</v>
      </c>
      <c r="I441" s="9" t="str">
        <f>_xlfn.XLOOKUP(B441,Plant_Master!A:A,Plant_Master!C:C)</f>
        <v>Outdoor</v>
      </c>
      <c r="J441" s="9">
        <f>_xlfn.XLOOKUP(B441,Nursery_Inventory!B:B,Nursery_Inventory!C:C)</f>
        <v>360</v>
      </c>
    </row>
    <row r="442" spans="1:10" ht="13.2" x14ac:dyDescent="0.25">
      <c r="A442" s="10">
        <v>3145</v>
      </c>
      <c r="B442" s="10">
        <v>1018</v>
      </c>
      <c r="C442" s="10" t="s">
        <v>9</v>
      </c>
      <c r="D442" s="10">
        <v>21</v>
      </c>
      <c r="E442" s="10">
        <v>310</v>
      </c>
      <c r="F442" s="9">
        <f t="shared" si="6"/>
        <v>6510</v>
      </c>
      <c r="G442" s="9" t="str">
        <f>_xlfn.XLOOKUP(B442,Nursery_Inventory!B:B,Nursery_Inventory!E:E)</f>
        <v>Pune</v>
      </c>
      <c r="H442" s="9" t="str">
        <f>_xlfn.XLOOKUP(B442,Plant_Master!A:A,Plant_Master!B:B)</f>
        <v>Rose</v>
      </c>
      <c r="I442" s="9" t="str">
        <f>_xlfn.XLOOKUP(B442,Plant_Master!A:A,Plant_Master!C:C)</f>
        <v>Medicinal</v>
      </c>
      <c r="J442" s="9">
        <f>_xlfn.XLOOKUP(B442,Nursery_Inventory!B:B,Nursery_Inventory!C:C)</f>
        <v>59</v>
      </c>
    </row>
    <row r="443" spans="1:10" ht="13.2" x14ac:dyDescent="0.25">
      <c r="A443" s="10">
        <v>3142</v>
      </c>
      <c r="B443" s="10">
        <v>1018</v>
      </c>
      <c r="C443" s="10" t="s">
        <v>14</v>
      </c>
      <c r="D443" s="10">
        <v>30</v>
      </c>
      <c r="E443" s="10">
        <v>173</v>
      </c>
      <c r="F443" s="9">
        <f t="shared" si="6"/>
        <v>5190</v>
      </c>
      <c r="G443" s="9" t="str">
        <f>_xlfn.XLOOKUP(B443,Nursery_Inventory!B:B,Nursery_Inventory!E:E)</f>
        <v>Pune</v>
      </c>
      <c r="H443" s="9" t="str">
        <f>_xlfn.XLOOKUP(B443,Plant_Master!A:A,Plant_Master!B:B)</f>
        <v>Rose</v>
      </c>
      <c r="I443" s="9" t="str">
        <f>_xlfn.XLOOKUP(B443,Plant_Master!A:A,Plant_Master!C:C)</f>
        <v>Medicinal</v>
      </c>
      <c r="J443" s="9">
        <f>_xlfn.XLOOKUP(B443,Nursery_Inventory!B:B,Nursery_Inventory!C:C)</f>
        <v>59</v>
      </c>
    </row>
    <row r="444" spans="1:10" ht="13.2" x14ac:dyDescent="0.25">
      <c r="A444" s="10">
        <v>3069</v>
      </c>
      <c r="B444" s="10">
        <v>1376</v>
      </c>
      <c r="C444" s="10" t="s">
        <v>14</v>
      </c>
      <c r="D444" s="10">
        <v>10</v>
      </c>
      <c r="E444" s="10">
        <v>97</v>
      </c>
      <c r="F444" s="9">
        <f t="shared" si="6"/>
        <v>970</v>
      </c>
      <c r="G444" s="13" t="s">
        <v>79</v>
      </c>
      <c r="H444" s="9" t="str">
        <f>_xlfn.XLOOKUP(B444,Plant_Master!A:A,Plant_Master!B:B)</f>
        <v>Aloe</v>
      </c>
      <c r="I444" s="9" t="str">
        <f>_xlfn.XLOOKUP(B444,Plant_Master!A:A,Plant_Master!C:C)</f>
        <v>Medicinal</v>
      </c>
      <c r="J444" s="13" t="s">
        <v>73</v>
      </c>
    </row>
    <row r="445" spans="1:10" ht="13.2" x14ac:dyDescent="0.25">
      <c r="A445" s="10">
        <v>3191</v>
      </c>
      <c r="B445" s="10">
        <v>1217</v>
      </c>
      <c r="C445" s="10" t="s">
        <v>7</v>
      </c>
      <c r="D445" s="10">
        <v>15</v>
      </c>
      <c r="E445" s="10">
        <v>302</v>
      </c>
      <c r="F445" s="9">
        <f t="shared" si="6"/>
        <v>4530</v>
      </c>
      <c r="G445" s="9" t="str">
        <f>_xlfn.XLOOKUP(B445,Nursery_Inventory!B:B,Nursery_Inventory!E:E)</f>
        <v>Pune</v>
      </c>
      <c r="H445" s="9" t="str">
        <f>_xlfn.XLOOKUP(B445,Plant_Master!A:A,Plant_Master!B:B)</f>
        <v>Fern</v>
      </c>
      <c r="I445" s="9" t="str">
        <f>_xlfn.XLOOKUP(B445,Plant_Master!A:A,Plant_Master!C:C)</f>
        <v>Flower</v>
      </c>
      <c r="J445" s="9">
        <f>_xlfn.XLOOKUP(B445,Nursery_Inventory!B:B,Nursery_Inventory!C:C)</f>
        <v>50</v>
      </c>
    </row>
    <row r="446" spans="1:10" ht="13.2" x14ac:dyDescent="0.25">
      <c r="A446" s="10">
        <v>3373</v>
      </c>
      <c r="B446" s="10">
        <v>1120</v>
      </c>
      <c r="C446" s="10" t="s">
        <v>12</v>
      </c>
      <c r="D446" s="10">
        <v>6</v>
      </c>
      <c r="E446" s="10">
        <v>159</v>
      </c>
      <c r="F446" s="9">
        <f t="shared" si="6"/>
        <v>954</v>
      </c>
      <c r="G446" s="13" t="s">
        <v>79</v>
      </c>
      <c r="H446" s="9" t="str">
        <f>_xlfn.XLOOKUP(B446,Plant_Master!A:A,Plant_Master!B:B)</f>
        <v>Rose</v>
      </c>
      <c r="I446" s="9" t="str">
        <f>_xlfn.XLOOKUP(B446,Plant_Master!A:A,Plant_Master!C:C)</f>
        <v>Medicinal</v>
      </c>
      <c r="J446" s="13" t="s">
        <v>73</v>
      </c>
    </row>
    <row r="447" spans="1:10" ht="13.2" x14ac:dyDescent="0.25">
      <c r="A447" s="10">
        <v>3404</v>
      </c>
      <c r="B447" s="10">
        <v>1077</v>
      </c>
      <c r="C447" s="10" t="s">
        <v>25</v>
      </c>
      <c r="D447" s="10">
        <v>3</v>
      </c>
      <c r="E447" s="10">
        <v>304</v>
      </c>
      <c r="F447" s="9">
        <f t="shared" si="6"/>
        <v>912</v>
      </c>
      <c r="G447" s="9" t="str">
        <f>_xlfn.XLOOKUP(B447,Nursery_Inventory!B:B,Nursery_Inventory!E:E)</f>
        <v>Bangalore</v>
      </c>
      <c r="H447" s="9" t="str">
        <f>_xlfn.XLOOKUP(B447,Plant_Master!A:A,Plant_Master!B:B)</f>
        <v>Palm</v>
      </c>
      <c r="I447" s="9" t="str">
        <f>_xlfn.XLOOKUP(B447,Plant_Master!A:A,Plant_Master!C:C)</f>
        <v>Medicinal</v>
      </c>
      <c r="J447" s="9">
        <f>_xlfn.XLOOKUP(B447,Nursery_Inventory!B:B,Nursery_Inventory!C:C)</f>
        <v>18</v>
      </c>
    </row>
    <row r="448" spans="1:10" ht="13.2" x14ac:dyDescent="0.25">
      <c r="A448" s="10">
        <v>3084</v>
      </c>
      <c r="B448" s="10">
        <v>1217</v>
      </c>
      <c r="C448" s="10" t="s">
        <v>12</v>
      </c>
      <c r="D448" s="10">
        <v>10</v>
      </c>
      <c r="E448" s="10">
        <v>304</v>
      </c>
      <c r="F448" s="9">
        <f t="shared" si="6"/>
        <v>3040</v>
      </c>
      <c r="G448" s="9" t="str">
        <f>_xlfn.XLOOKUP(B448,Nursery_Inventory!B:B,Nursery_Inventory!E:E)</f>
        <v>Pune</v>
      </c>
      <c r="H448" s="9" t="str">
        <f>_xlfn.XLOOKUP(B448,Plant_Master!A:A,Plant_Master!B:B)</f>
        <v>Fern</v>
      </c>
      <c r="I448" s="9" t="str">
        <f>_xlfn.XLOOKUP(B448,Plant_Master!A:A,Plant_Master!C:C)</f>
        <v>Flower</v>
      </c>
      <c r="J448" s="9">
        <f>_xlfn.XLOOKUP(B448,Nursery_Inventory!B:B,Nursery_Inventory!C:C)</f>
        <v>50</v>
      </c>
    </row>
    <row r="449" spans="1:10" ht="13.2" x14ac:dyDescent="0.25">
      <c r="A449" s="10">
        <v>3499</v>
      </c>
      <c r="B449" s="10">
        <v>1461</v>
      </c>
      <c r="C449" s="10" t="s">
        <v>9</v>
      </c>
      <c r="D449" s="10">
        <v>13</v>
      </c>
      <c r="E449" s="10">
        <v>268</v>
      </c>
      <c r="F449" s="9">
        <f t="shared" si="6"/>
        <v>3484</v>
      </c>
      <c r="G449" s="9" t="str">
        <f>_xlfn.XLOOKUP(B449,Nursery_Inventory!B:B,Nursery_Inventory!E:E)</f>
        <v>Pune</v>
      </c>
      <c r="H449" s="9" t="str">
        <f>_xlfn.XLOOKUP(B449,Plant_Master!A:A,Plant_Master!B:B)</f>
        <v>Cactus</v>
      </c>
      <c r="I449" s="9" t="str">
        <f>_xlfn.XLOOKUP(B449,Plant_Master!A:A,Plant_Master!C:C)</f>
        <v>Succulent</v>
      </c>
      <c r="J449" s="9">
        <f>_xlfn.XLOOKUP(B449,Nursery_Inventory!B:B,Nursery_Inventory!C:C)</f>
        <v>45</v>
      </c>
    </row>
    <row r="450" spans="1:10" ht="13.2" x14ac:dyDescent="0.25">
      <c r="A450" s="10">
        <v>3334</v>
      </c>
      <c r="B450" s="10">
        <v>1160</v>
      </c>
      <c r="C450" s="10" t="s">
        <v>12</v>
      </c>
      <c r="D450" s="10">
        <v>2</v>
      </c>
      <c r="E450" s="10">
        <v>407</v>
      </c>
      <c r="F450" s="9">
        <f t="shared" ref="F450:F501" si="7">D450*E450</f>
        <v>814</v>
      </c>
      <c r="G450" s="9" t="str">
        <f>_xlfn.XLOOKUP(B450,Nursery_Inventory!B:B,Nursery_Inventory!E:E)</f>
        <v>Mumbai</v>
      </c>
      <c r="H450" s="9" t="str">
        <f>_xlfn.XLOOKUP(B450,Plant_Master!A:A,Plant_Master!B:B)</f>
        <v>Aloe</v>
      </c>
      <c r="I450" s="9" t="str">
        <f>_xlfn.XLOOKUP(B450,Plant_Master!A:A,Plant_Master!C:C)</f>
        <v>Succulent</v>
      </c>
      <c r="J450" s="9">
        <f>_xlfn.XLOOKUP(B450,Nursery_Inventory!B:B,Nursery_Inventory!C:C)</f>
        <v>234</v>
      </c>
    </row>
    <row r="451" spans="1:10" ht="13.2" x14ac:dyDescent="0.25">
      <c r="A451" s="10">
        <v>3141</v>
      </c>
      <c r="B451" s="10">
        <v>1383</v>
      </c>
      <c r="C451" s="10" t="s">
        <v>7</v>
      </c>
      <c r="D451" s="10">
        <v>15</v>
      </c>
      <c r="E451" s="10">
        <v>51</v>
      </c>
      <c r="F451" s="9">
        <f t="shared" si="7"/>
        <v>765</v>
      </c>
      <c r="G451" s="13" t="s">
        <v>79</v>
      </c>
      <c r="H451" s="9" t="str">
        <f>_xlfn.XLOOKUP(B451,Plant_Master!A:A,Plant_Master!B:B)</f>
        <v>Tulip</v>
      </c>
      <c r="I451" s="9" t="str">
        <f>_xlfn.XLOOKUP(B451,Plant_Master!A:A,Plant_Master!C:C)</f>
        <v>Succulent</v>
      </c>
      <c r="J451" s="13" t="s">
        <v>73</v>
      </c>
    </row>
    <row r="452" spans="1:10" ht="13.2" x14ac:dyDescent="0.25">
      <c r="A452" s="10">
        <v>3274</v>
      </c>
      <c r="B452" s="10">
        <v>1220</v>
      </c>
      <c r="C452" s="10" t="s">
        <v>9</v>
      </c>
      <c r="D452" s="10">
        <v>41</v>
      </c>
      <c r="E452" s="10">
        <v>201</v>
      </c>
      <c r="F452" s="9">
        <f t="shared" si="7"/>
        <v>8241</v>
      </c>
      <c r="G452" s="9" t="str">
        <f>_xlfn.XLOOKUP(B452,Nursery_Inventory!B:B,Nursery_Inventory!E:E)</f>
        <v>Delhi</v>
      </c>
      <c r="H452" s="9" t="str">
        <f>_xlfn.XLOOKUP(B452,Plant_Master!A:A,Plant_Master!B:B)</f>
        <v>Orchid</v>
      </c>
      <c r="I452" s="9" t="str">
        <f>_xlfn.XLOOKUP(B452,Plant_Master!A:A,Plant_Master!C:C)</f>
        <v>Succulent</v>
      </c>
      <c r="J452" s="9">
        <f>_xlfn.XLOOKUP(B452,Nursery_Inventory!B:B,Nursery_Inventory!C:C)</f>
        <v>66</v>
      </c>
    </row>
    <row r="453" spans="1:10" ht="13.2" x14ac:dyDescent="0.25">
      <c r="A453" s="10">
        <v>3408</v>
      </c>
      <c r="B453" s="10">
        <v>1152</v>
      </c>
      <c r="C453" s="10" t="s">
        <v>12</v>
      </c>
      <c r="D453" s="10">
        <v>4</v>
      </c>
      <c r="E453" s="10">
        <v>286</v>
      </c>
      <c r="F453" s="9">
        <f t="shared" si="7"/>
        <v>1144</v>
      </c>
      <c r="G453" s="9" t="str">
        <f>_xlfn.XLOOKUP(B453,Nursery_Inventory!B:B,Nursery_Inventory!E:E)</f>
        <v>Chennai</v>
      </c>
      <c r="H453" s="9" t="str">
        <f>_xlfn.XLOOKUP(B453,Plant_Master!A:A,Plant_Master!B:B)</f>
        <v>Palm</v>
      </c>
      <c r="I453" s="9" t="str">
        <f>_xlfn.XLOOKUP(B453,Plant_Master!A:A,Plant_Master!C:C)</f>
        <v>Outdoor</v>
      </c>
      <c r="J453" s="9">
        <f>_xlfn.XLOOKUP(B453,Nursery_Inventory!B:B,Nursery_Inventory!C:C)</f>
        <v>485</v>
      </c>
    </row>
    <row r="454" spans="1:10" ht="13.2" x14ac:dyDescent="0.25">
      <c r="A454" s="10">
        <v>3053</v>
      </c>
      <c r="B454" s="10">
        <v>1220</v>
      </c>
      <c r="C454" s="10" t="s">
        <v>9</v>
      </c>
      <c r="D454" s="10">
        <v>49</v>
      </c>
      <c r="E454" s="10">
        <v>101</v>
      </c>
      <c r="F454" s="9">
        <f t="shared" si="7"/>
        <v>4949</v>
      </c>
      <c r="G454" s="9" t="str">
        <f>_xlfn.XLOOKUP(B454,Nursery_Inventory!B:B,Nursery_Inventory!E:E)</f>
        <v>Delhi</v>
      </c>
      <c r="H454" s="9" t="str">
        <f>_xlfn.XLOOKUP(B454,Plant_Master!A:A,Plant_Master!B:B)</f>
        <v>Orchid</v>
      </c>
      <c r="I454" s="9" t="str">
        <f>_xlfn.XLOOKUP(B454,Plant_Master!A:A,Plant_Master!C:C)</f>
        <v>Succulent</v>
      </c>
      <c r="J454" s="9">
        <f>_xlfn.XLOOKUP(B454,Nursery_Inventory!B:B,Nursery_Inventory!C:C)</f>
        <v>66</v>
      </c>
    </row>
    <row r="455" spans="1:10" ht="13.2" x14ac:dyDescent="0.25">
      <c r="A455" s="10">
        <v>3474</v>
      </c>
      <c r="B455" s="10">
        <v>1220</v>
      </c>
      <c r="C455" s="10" t="s">
        <v>14</v>
      </c>
      <c r="D455" s="10">
        <v>33</v>
      </c>
      <c r="E455" s="10">
        <v>66</v>
      </c>
      <c r="F455" s="9">
        <f t="shared" si="7"/>
        <v>2178</v>
      </c>
      <c r="G455" s="9" t="str">
        <f>_xlfn.XLOOKUP(B455,Nursery_Inventory!B:B,Nursery_Inventory!E:E)</f>
        <v>Delhi</v>
      </c>
      <c r="H455" s="9" t="str">
        <f>_xlfn.XLOOKUP(B455,Plant_Master!A:A,Plant_Master!B:B)</f>
        <v>Orchid</v>
      </c>
      <c r="I455" s="9" t="str">
        <f>_xlfn.XLOOKUP(B455,Plant_Master!A:A,Plant_Master!C:C)</f>
        <v>Succulent</v>
      </c>
      <c r="J455" s="9">
        <f>_xlfn.XLOOKUP(B455,Nursery_Inventory!B:B,Nursery_Inventory!C:C)</f>
        <v>66</v>
      </c>
    </row>
    <row r="456" spans="1:10" ht="13.2" x14ac:dyDescent="0.25">
      <c r="A456" s="10">
        <v>3208</v>
      </c>
      <c r="B456" s="10">
        <v>1223</v>
      </c>
      <c r="C456" s="10" t="s">
        <v>9</v>
      </c>
      <c r="D456" s="10">
        <v>12</v>
      </c>
      <c r="E456" s="10">
        <v>372</v>
      </c>
      <c r="F456" s="9">
        <f t="shared" si="7"/>
        <v>4464</v>
      </c>
      <c r="G456" s="9" t="str">
        <f>_xlfn.XLOOKUP(B456,Nursery_Inventory!B:B,Nursery_Inventory!E:E)</f>
        <v>Delhi</v>
      </c>
      <c r="H456" s="9" t="str">
        <f>_xlfn.XLOOKUP(B456,Plant_Master!A:A,Plant_Master!B:B)</f>
        <v>Aloe</v>
      </c>
      <c r="I456" s="9" t="str">
        <f>_xlfn.XLOOKUP(B456,Plant_Master!A:A,Plant_Master!C:C)</f>
        <v>Medicinal</v>
      </c>
      <c r="J456" s="9">
        <f>_xlfn.XLOOKUP(B456,Nursery_Inventory!B:B,Nursery_Inventory!C:C)</f>
        <v>48</v>
      </c>
    </row>
    <row r="457" spans="1:10" ht="13.2" x14ac:dyDescent="0.25">
      <c r="A457" s="10">
        <v>3029</v>
      </c>
      <c r="B457" s="10">
        <v>1310</v>
      </c>
      <c r="C457" s="10" t="s">
        <v>7</v>
      </c>
      <c r="D457" s="10">
        <v>2</v>
      </c>
      <c r="E457" s="10">
        <v>286</v>
      </c>
      <c r="F457" s="9">
        <f t="shared" si="7"/>
        <v>572</v>
      </c>
      <c r="G457" s="9" t="str">
        <f>_xlfn.XLOOKUP(B457,Nursery_Inventory!B:B,Nursery_Inventory!E:E)</f>
        <v>Bangalore</v>
      </c>
      <c r="H457" s="9" t="str">
        <f>_xlfn.XLOOKUP(B457,Plant_Master!A:A,Plant_Master!B:B)</f>
        <v>Cactus</v>
      </c>
      <c r="I457" s="9" t="str">
        <f>_xlfn.XLOOKUP(B457,Plant_Master!A:A,Plant_Master!C:C)</f>
        <v>Succulent</v>
      </c>
      <c r="J457" s="9">
        <f>_xlfn.XLOOKUP(B457,Nursery_Inventory!B:B,Nursery_Inventory!C:C)</f>
        <v>294</v>
      </c>
    </row>
    <row r="458" spans="1:10" ht="13.2" x14ac:dyDescent="0.25">
      <c r="A458" s="10">
        <v>3395</v>
      </c>
      <c r="B458" s="10">
        <v>1350</v>
      </c>
      <c r="C458" s="10" t="s">
        <v>12</v>
      </c>
      <c r="D458" s="10">
        <v>41</v>
      </c>
      <c r="E458" s="10">
        <v>139</v>
      </c>
      <c r="F458" s="9">
        <f t="shared" si="7"/>
        <v>5699</v>
      </c>
      <c r="G458" s="9" t="str">
        <f>_xlfn.XLOOKUP(B458,Nursery_Inventory!B:B,Nursery_Inventory!E:E)</f>
        <v>Mumbai</v>
      </c>
      <c r="H458" s="9" t="str">
        <f>_xlfn.XLOOKUP(B458,Plant_Master!A:A,Plant_Master!B:B)</f>
        <v>Orchid</v>
      </c>
      <c r="I458" s="9" t="str">
        <f>_xlfn.XLOOKUP(B458,Plant_Master!A:A,Plant_Master!C:C)</f>
        <v>Flower</v>
      </c>
      <c r="J458" s="9">
        <f>_xlfn.XLOOKUP(B458,Nursery_Inventory!B:B,Nursery_Inventory!C:C)</f>
        <v>42</v>
      </c>
    </row>
    <row r="459" spans="1:10" ht="13.2" x14ac:dyDescent="0.25">
      <c r="A459" s="10">
        <v>3296</v>
      </c>
      <c r="B459" s="10">
        <v>1232</v>
      </c>
      <c r="C459" s="10" t="s">
        <v>12</v>
      </c>
      <c r="D459" s="10">
        <v>7</v>
      </c>
      <c r="E459" s="10">
        <v>101</v>
      </c>
      <c r="F459" s="9">
        <f t="shared" si="7"/>
        <v>707</v>
      </c>
      <c r="G459" s="13" t="s">
        <v>79</v>
      </c>
      <c r="H459" s="9" t="str">
        <f>_xlfn.XLOOKUP(B459,Plant_Master!A:A,Plant_Master!B:B)</f>
        <v>Fern</v>
      </c>
      <c r="I459" s="9" t="str">
        <f>_xlfn.XLOOKUP(B459,Plant_Master!A:A,Plant_Master!C:C)</f>
        <v>Medicinal</v>
      </c>
      <c r="J459" s="13" t="s">
        <v>73</v>
      </c>
    </row>
    <row r="460" spans="1:10" ht="13.2" x14ac:dyDescent="0.25">
      <c r="A460" s="10">
        <v>3134</v>
      </c>
      <c r="B460" s="10">
        <v>1223</v>
      </c>
      <c r="C460" s="10" t="s">
        <v>7</v>
      </c>
      <c r="D460" s="10">
        <v>45</v>
      </c>
      <c r="E460" s="10">
        <v>69</v>
      </c>
      <c r="F460" s="9">
        <f t="shared" si="7"/>
        <v>3105</v>
      </c>
      <c r="G460" s="9" t="str">
        <f>_xlfn.XLOOKUP(B460,Nursery_Inventory!B:B,Nursery_Inventory!E:E)</f>
        <v>Delhi</v>
      </c>
      <c r="H460" s="9" t="str">
        <f>_xlfn.XLOOKUP(B460,Plant_Master!A:A,Plant_Master!B:B)</f>
        <v>Aloe</v>
      </c>
      <c r="I460" s="9" t="str">
        <f>_xlfn.XLOOKUP(B460,Plant_Master!A:A,Plant_Master!C:C)</f>
        <v>Medicinal</v>
      </c>
      <c r="J460" s="9">
        <f>_xlfn.XLOOKUP(B460,Nursery_Inventory!B:B,Nursery_Inventory!C:C)</f>
        <v>48</v>
      </c>
    </row>
    <row r="461" spans="1:10" ht="13.2" x14ac:dyDescent="0.25">
      <c r="A461" s="10">
        <v>3489</v>
      </c>
      <c r="B461" s="10">
        <v>1223</v>
      </c>
      <c r="C461" s="10" t="s">
        <v>25</v>
      </c>
      <c r="D461" s="10">
        <v>48</v>
      </c>
      <c r="E461" s="10">
        <v>51</v>
      </c>
      <c r="F461" s="9">
        <f t="shared" si="7"/>
        <v>2448</v>
      </c>
      <c r="G461" s="9" t="str">
        <f>_xlfn.XLOOKUP(B461,Nursery_Inventory!B:B,Nursery_Inventory!E:E)</f>
        <v>Delhi</v>
      </c>
      <c r="H461" s="9" t="str">
        <f>_xlfn.XLOOKUP(B461,Plant_Master!A:A,Plant_Master!B:B)</f>
        <v>Aloe</v>
      </c>
      <c r="I461" s="9" t="str">
        <f>_xlfn.XLOOKUP(B461,Plant_Master!A:A,Plant_Master!C:C)</f>
        <v>Medicinal</v>
      </c>
      <c r="J461" s="9">
        <f>_xlfn.XLOOKUP(B461,Nursery_Inventory!B:B,Nursery_Inventory!C:C)</f>
        <v>48</v>
      </c>
    </row>
    <row r="462" spans="1:10" ht="13.2" x14ac:dyDescent="0.25">
      <c r="A462" s="10">
        <v>3310</v>
      </c>
      <c r="B462" s="10">
        <v>1132</v>
      </c>
      <c r="C462" s="10" t="s">
        <v>14</v>
      </c>
      <c r="D462" s="10">
        <v>12</v>
      </c>
      <c r="E462" s="10">
        <v>58</v>
      </c>
      <c r="F462" s="9">
        <f t="shared" si="7"/>
        <v>696</v>
      </c>
      <c r="G462" s="9" t="str">
        <f>_xlfn.XLOOKUP(B462,Nursery_Inventory!B:B,Nursery_Inventory!E:E)</f>
        <v>Mumbai</v>
      </c>
      <c r="H462" s="9" t="str">
        <f>_xlfn.XLOOKUP(B462,Plant_Master!A:A,Plant_Master!B:B)</f>
        <v>Lily</v>
      </c>
      <c r="I462" s="9" t="str">
        <f>_xlfn.XLOOKUP(B462,Plant_Master!A:A,Plant_Master!C:C)</f>
        <v>Succulent</v>
      </c>
      <c r="J462" s="9">
        <f>_xlfn.XLOOKUP(B462,Nursery_Inventory!B:B,Nursery_Inventory!C:C)</f>
        <v>295</v>
      </c>
    </row>
    <row r="463" spans="1:10" ht="13.2" x14ac:dyDescent="0.25">
      <c r="A463" s="10">
        <v>3036</v>
      </c>
      <c r="B463" s="10">
        <v>1461</v>
      </c>
      <c r="C463" s="10" t="s">
        <v>14</v>
      </c>
      <c r="D463" s="10">
        <v>4</v>
      </c>
      <c r="E463" s="10">
        <v>60</v>
      </c>
      <c r="F463" s="9">
        <f t="shared" si="7"/>
        <v>240</v>
      </c>
      <c r="G463" s="9" t="str">
        <f>_xlfn.XLOOKUP(B463,Nursery_Inventory!B:B,Nursery_Inventory!E:E)</f>
        <v>Pune</v>
      </c>
      <c r="H463" s="9" t="str">
        <f>_xlfn.XLOOKUP(B463,Plant_Master!A:A,Plant_Master!B:B)</f>
        <v>Cactus</v>
      </c>
      <c r="I463" s="9" t="str">
        <f>_xlfn.XLOOKUP(B463,Plant_Master!A:A,Plant_Master!C:C)</f>
        <v>Succulent</v>
      </c>
      <c r="J463" s="9">
        <f>_xlfn.XLOOKUP(B463,Nursery_Inventory!B:B,Nursery_Inventory!C:C)</f>
        <v>45</v>
      </c>
    </row>
    <row r="464" spans="1:10" ht="13.2" x14ac:dyDescent="0.25">
      <c r="A464" s="10">
        <v>3118</v>
      </c>
      <c r="B464" s="10">
        <v>1350</v>
      </c>
      <c r="C464" s="10" t="s">
        <v>12</v>
      </c>
      <c r="D464" s="10">
        <v>40</v>
      </c>
      <c r="E464" s="10">
        <v>127</v>
      </c>
      <c r="F464" s="9">
        <f t="shared" si="7"/>
        <v>5080</v>
      </c>
      <c r="G464" s="9" t="str">
        <f>_xlfn.XLOOKUP(B464,Nursery_Inventory!B:B,Nursery_Inventory!E:E)</f>
        <v>Mumbai</v>
      </c>
      <c r="H464" s="9" t="str">
        <f>_xlfn.XLOOKUP(B464,Plant_Master!A:A,Plant_Master!B:B)</f>
        <v>Orchid</v>
      </c>
      <c r="I464" s="9" t="str">
        <f>_xlfn.XLOOKUP(B464,Plant_Master!A:A,Plant_Master!C:C)</f>
        <v>Flower</v>
      </c>
      <c r="J464" s="9">
        <f>_xlfn.XLOOKUP(B464,Nursery_Inventory!B:B,Nursery_Inventory!C:C)</f>
        <v>42</v>
      </c>
    </row>
    <row r="465" spans="1:10" ht="13.2" x14ac:dyDescent="0.25">
      <c r="A465" s="10">
        <v>3240</v>
      </c>
      <c r="B465" s="10">
        <v>1150</v>
      </c>
      <c r="C465" s="10" t="s">
        <v>7</v>
      </c>
      <c r="D465" s="10">
        <v>2</v>
      </c>
      <c r="E465" s="10">
        <v>345</v>
      </c>
      <c r="F465" s="9">
        <f t="shared" si="7"/>
        <v>690</v>
      </c>
      <c r="G465" s="9" t="str">
        <f>_xlfn.XLOOKUP(B465,Nursery_Inventory!B:B,Nursery_Inventory!E:E)</f>
        <v>Chennai</v>
      </c>
      <c r="H465" s="9" t="str">
        <f>_xlfn.XLOOKUP(B465,Plant_Master!A:A,Plant_Master!B:B)</f>
        <v>Rose</v>
      </c>
      <c r="I465" s="9" t="str">
        <f>_xlfn.XLOOKUP(B465,Plant_Master!A:A,Plant_Master!C:C)</f>
        <v>Succulent</v>
      </c>
      <c r="J465" s="9">
        <f>_xlfn.XLOOKUP(B465,Nursery_Inventory!B:B,Nursery_Inventory!C:C)</f>
        <v>472</v>
      </c>
    </row>
    <row r="466" spans="1:10" ht="13.2" x14ac:dyDescent="0.25">
      <c r="A466" s="10">
        <v>3364</v>
      </c>
      <c r="B466" s="10">
        <v>1333</v>
      </c>
      <c r="C466" s="10" t="s">
        <v>9</v>
      </c>
      <c r="D466" s="10">
        <v>3</v>
      </c>
      <c r="E466" s="10">
        <v>433</v>
      </c>
      <c r="F466" s="9">
        <f t="shared" si="7"/>
        <v>1299</v>
      </c>
      <c r="G466" s="13" t="s">
        <v>79</v>
      </c>
      <c r="H466" s="9" t="str">
        <f>_xlfn.XLOOKUP(B466,Plant_Master!A:A,Plant_Master!B:B)</f>
        <v>Rose</v>
      </c>
      <c r="I466" s="9" t="str">
        <f>_xlfn.XLOOKUP(B466,Plant_Master!A:A,Plant_Master!C:C)</f>
        <v>Outdoor</v>
      </c>
      <c r="J466" s="13" t="s">
        <v>73</v>
      </c>
    </row>
    <row r="467" spans="1:10" ht="13.2" x14ac:dyDescent="0.25">
      <c r="A467" s="10">
        <v>3243</v>
      </c>
      <c r="B467" s="10">
        <v>1498</v>
      </c>
      <c r="C467" s="10" t="s">
        <v>12</v>
      </c>
      <c r="D467" s="10">
        <v>3</v>
      </c>
      <c r="E467" s="10">
        <v>223</v>
      </c>
      <c r="F467" s="9">
        <f t="shared" si="7"/>
        <v>669</v>
      </c>
      <c r="G467" s="13" t="s">
        <v>79</v>
      </c>
      <c r="H467" s="9" t="str">
        <f>_xlfn.XLOOKUP(B467,Plant_Master!A:A,Plant_Master!B:B)</f>
        <v>Orchid</v>
      </c>
      <c r="I467" s="9" t="str">
        <f>_xlfn.XLOOKUP(B467,Plant_Master!A:A,Plant_Master!C:C)</f>
        <v>Indoor</v>
      </c>
      <c r="J467" s="13" t="s">
        <v>73</v>
      </c>
    </row>
    <row r="468" spans="1:10" ht="13.2" x14ac:dyDescent="0.25">
      <c r="A468" s="10">
        <v>3225</v>
      </c>
      <c r="B468" s="10">
        <v>1060</v>
      </c>
      <c r="C468" s="10" t="s">
        <v>9</v>
      </c>
      <c r="D468" s="10">
        <v>3</v>
      </c>
      <c r="E468" s="10">
        <v>247</v>
      </c>
      <c r="F468" s="9">
        <f t="shared" si="7"/>
        <v>741</v>
      </c>
      <c r="G468" s="9" t="str">
        <f>_xlfn.XLOOKUP(B468,Nursery_Inventory!B:B,Nursery_Inventory!E:E)</f>
        <v>Chennai</v>
      </c>
      <c r="H468" s="9" t="str">
        <f>_xlfn.XLOOKUP(B468,Plant_Master!A:A,Plant_Master!B:B)</f>
        <v>Bamboo</v>
      </c>
      <c r="I468" s="9" t="str">
        <f>_xlfn.XLOOKUP(B468,Plant_Master!A:A,Plant_Master!C:C)</f>
        <v>Outdoor</v>
      </c>
      <c r="J468" s="9">
        <f>_xlfn.XLOOKUP(B468,Nursery_Inventory!B:B,Nursery_Inventory!C:C)</f>
        <v>93</v>
      </c>
    </row>
    <row r="469" spans="1:10" ht="13.2" x14ac:dyDescent="0.25">
      <c r="A469" s="10">
        <v>3490</v>
      </c>
      <c r="B469" s="10">
        <v>1485</v>
      </c>
      <c r="C469" s="10" t="s">
        <v>14</v>
      </c>
      <c r="D469" s="10">
        <v>5</v>
      </c>
      <c r="E469" s="10">
        <v>131</v>
      </c>
      <c r="F469" s="9">
        <f t="shared" si="7"/>
        <v>655</v>
      </c>
      <c r="G469" s="9" t="str">
        <f>_xlfn.XLOOKUP(B469,Nursery_Inventory!B:B,Nursery_Inventory!E:E)</f>
        <v>Mumbai</v>
      </c>
      <c r="H469" s="9" t="str">
        <f>_xlfn.XLOOKUP(B469,Plant_Master!A:A,Plant_Master!B:B)</f>
        <v>Tulip</v>
      </c>
      <c r="I469" s="9" t="str">
        <f>_xlfn.XLOOKUP(B469,Plant_Master!A:A,Plant_Master!C:C)</f>
        <v>Succulent</v>
      </c>
      <c r="J469" s="9">
        <f>_xlfn.XLOOKUP(B469,Nursery_Inventory!B:B,Nursery_Inventory!C:C)</f>
        <v>165</v>
      </c>
    </row>
    <row r="470" spans="1:10" ht="13.2" x14ac:dyDescent="0.25">
      <c r="A470" s="10">
        <v>3466</v>
      </c>
      <c r="B470" s="10">
        <v>1426</v>
      </c>
      <c r="C470" s="10" t="s">
        <v>12</v>
      </c>
      <c r="D470" s="10">
        <v>6</v>
      </c>
      <c r="E470" s="10">
        <v>103</v>
      </c>
      <c r="F470" s="9">
        <f t="shared" si="7"/>
        <v>618</v>
      </c>
      <c r="G470" s="13" t="s">
        <v>79</v>
      </c>
      <c r="H470" s="9" t="str">
        <f>_xlfn.XLOOKUP(B470,Plant_Master!A:A,Plant_Master!B:B)</f>
        <v>Bamboo</v>
      </c>
      <c r="I470" s="9" t="str">
        <f>_xlfn.XLOOKUP(B470,Plant_Master!A:A,Plant_Master!C:C)</f>
        <v>Succulent</v>
      </c>
      <c r="J470" s="13" t="s">
        <v>73</v>
      </c>
    </row>
    <row r="471" spans="1:10" ht="13.2" x14ac:dyDescent="0.25">
      <c r="A471" s="10">
        <v>3422</v>
      </c>
      <c r="B471" s="10">
        <v>1035</v>
      </c>
      <c r="C471" s="10" t="s">
        <v>14</v>
      </c>
      <c r="D471" s="10">
        <v>36</v>
      </c>
      <c r="E471" s="10">
        <v>63</v>
      </c>
      <c r="F471" s="9">
        <f t="shared" si="7"/>
        <v>2268</v>
      </c>
      <c r="G471" s="9" t="str">
        <f>_xlfn.XLOOKUP(B471,Nursery_Inventory!B:B,Nursery_Inventory!E:E)</f>
        <v>Delhi</v>
      </c>
      <c r="H471" s="9" t="str">
        <f>_xlfn.XLOOKUP(B471,Plant_Master!A:A,Plant_Master!B:B)</f>
        <v>Lily</v>
      </c>
      <c r="I471" s="9" t="str">
        <f>_xlfn.XLOOKUP(B471,Plant_Master!A:A,Plant_Master!C:C)</f>
        <v>Medicinal</v>
      </c>
      <c r="J471" s="9">
        <f>_xlfn.XLOOKUP(B471,Nursery_Inventory!B:B,Nursery_Inventory!C:C)</f>
        <v>42</v>
      </c>
    </row>
    <row r="472" spans="1:10" ht="13.2" x14ac:dyDescent="0.25">
      <c r="A472" s="10">
        <v>3060</v>
      </c>
      <c r="B472" s="10">
        <v>1068</v>
      </c>
      <c r="C472" s="10" t="s">
        <v>12</v>
      </c>
      <c r="D472" s="10">
        <v>49</v>
      </c>
      <c r="E472" s="10">
        <v>383</v>
      </c>
      <c r="F472" s="9">
        <f t="shared" si="7"/>
        <v>18767</v>
      </c>
      <c r="G472" s="9" t="str">
        <f>_xlfn.XLOOKUP(B472,Nursery_Inventory!B:B,Nursery_Inventory!E:E)</f>
        <v>Pune</v>
      </c>
      <c r="H472" s="9" t="str">
        <f>_xlfn.XLOOKUP(B472,Plant_Master!A:A,Plant_Master!B:B)</f>
        <v>Tulip</v>
      </c>
      <c r="I472" s="9" t="str">
        <f>_xlfn.XLOOKUP(B472,Plant_Master!A:A,Plant_Master!C:C)</f>
        <v>Succulent</v>
      </c>
      <c r="J472" s="9">
        <f>_xlfn.XLOOKUP(B472,Nursery_Inventory!B:B,Nursery_Inventory!C:C)</f>
        <v>42</v>
      </c>
    </row>
    <row r="473" spans="1:10" ht="13.2" x14ac:dyDescent="0.25">
      <c r="A473" s="10">
        <v>3213</v>
      </c>
      <c r="B473" s="10">
        <v>1237</v>
      </c>
      <c r="C473" s="10" t="s">
        <v>25</v>
      </c>
      <c r="D473" s="10">
        <v>4</v>
      </c>
      <c r="E473" s="10">
        <v>137</v>
      </c>
      <c r="F473" s="9">
        <f t="shared" si="7"/>
        <v>548</v>
      </c>
      <c r="G473" s="9" t="str">
        <f>_xlfn.XLOOKUP(B473,Nursery_Inventory!B:B,Nursery_Inventory!E:E)</f>
        <v>Bangalore</v>
      </c>
      <c r="H473" s="9" t="str">
        <f>_xlfn.XLOOKUP(B473,Plant_Master!A:A,Plant_Master!B:B)</f>
        <v>Bamboo</v>
      </c>
      <c r="I473" s="9" t="str">
        <f>_xlfn.XLOOKUP(B473,Plant_Master!A:A,Plant_Master!C:C)</f>
        <v>Outdoor</v>
      </c>
      <c r="J473" s="9">
        <f>_xlfn.XLOOKUP(B473,Nursery_Inventory!B:B,Nursery_Inventory!C:C)</f>
        <v>339</v>
      </c>
    </row>
    <row r="474" spans="1:10" ht="13.2" x14ac:dyDescent="0.25">
      <c r="A474" s="10">
        <v>3061</v>
      </c>
      <c r="B474" s="10">
        <v>1062</v>
      </c>
      <c r="C474" s="10" t="s">
        <v>7</v>
      </c>
      <c r="D474" s="10">
        <v>28</v>
      </c>
      <c r="E474" s="10">
        <v>170</v>
      </c>
      <c r="F474" s="9">
        <f t="shared" si="7"/>
        <v>4760</v>
      </c>
      <c r="G474" s="9" t="str">
        <f>_xlfn.XLOOKUP(B474,Nursery_Inventory!B:B,Nursery_Inventory!E:E)</f>
        <v>Delhi</v>
      </c>
      <c r="H474" s="9" t="str">
        <f>_xlfn.XLOOKUP(B474,Plant_Master!A:A,Plant_Master!B:B)</f>
        <v>Rose</v>
      </c>
      <c r="I474" s="9" t="str">
        <f>_xlfn.XLOOKUP(B474,Plant_Master!A:A,Plant_Master!C:C)</f>
        <v>Medicinal</v>
      </c>
      <c r="J474" s="9">
        <f>_xlfn.XLOOKUP(B474,Nursery_Inventory!B:B,Nursery_Inventory!C:C)</f>
        <v>36</v>
      </c>
    </row>
    <row r="475" spans="1:10" ht="13.2" x14ac:dyDescent="0.25">
      <c r="A475" s="10">
        <v>3356</v>
      </c>
      <c r="B475" s="10">
        <v>1087</v>
      </c>
      <c r="C475" s="10" t="s">
        <v>9</v>
      </c>
      <c r="D475" s="10">
        <v>3</v>
      </c>
      <c r="E475" s="10">
        <v>190</v>
      </c>
      <c r="F475" s="9">
        <f t="shared" si="7"/>
        <v>570</v>
      </c>
      <c r="G475" s="13" t="s">
        <v>79</v>
      </c>
      <c r="H475" s="9" t="str">
        <f>_xlfn.XLOOKUP(B475,Plant_Master!A:A,Plant_Master!B:B)</f>
        <v>Aloe</v>
      </c>
      <c r="I475" s="9" t="str">
        <f>_xlfn.XLOOKUP(B475,Plant_Master!A:A,Plant_Master!C:C)</f>
        <v>Succulent</v>
      </c>
      <c r="J475" s="13" t="s">
        <v>73</v>
      </c>
    </row>
    <row r="476" spans="1:10" ht="13.2" x14ac:dyDescent="0.25">
      <c r="A476" s="10">
        <v>3439</v>
      </c>
      <c r="B476" s="10">
        <v>1396</v>
      </c>
      <c r="C476" s="10" t="s">
        <v>12</v>
      </c>
      <c r="D476" s="10">
        <v>3</v>
      </c>
      <c r="E476" s="10">
        <v>98</v>
      </c>
      <c r="F476" s="9">
        <f t="shared" si="7"/>
        <v>294</v>
      </c>
      <c r="G476" s="13" t="s">
        <v>79</v>
      </c>
      <c r="H476" s="9" t="str">
        <f>_xlfn.XLOOKUP(B476,Plant_Master!A:A,Plant_Master!B:B)</f>
        <v>Orchid</v>
      </c>
      <c r="I476" s="9" t="str">
        <f>_xlfn.XLOOKUP(B476,Plant_Master!A:A,Plant_Master!C:C)</f>
        <v>Outdoor</v>
      </c>
      <c r="J476" s="13" t="s">
        <v>73</v>
      </c>
    </row>
    <row r="477" spans="1:10" ht="13.2" x14ac:dyDescent="0.25">
      <c r="A477" s="10">
        <v>3424</v>
      </c>
      <c r="B477" s="10">
        <v>1242</v>
      </c>
      <c r="C477" s="10" t="s">
        <v>14</v>
      </c>
      <c r="D477" s="10">
        <v>2</v>
      </c>
      <c r="E477" s="10">
        <v>269</v>
      </c>
      <c r="F477" s="9">
        <f t="shared" si="7"/>
        <v>538</v>
      </c>
      <c r="G477" s="13" t="s">
        <v>79</v>
      </c>
      <c r="H477" s="9" t="str">
        <f>_xlfn.XLOOKUP(B477,Plant_Master!A:A,Plant_Master!B:B)</f>
        <v>Bamboo</v>
      </c>
      <c r="I477" s="9" t="str">
        <f>_xlfn.XLOOKUP(B477,Plant_Master!A:A,Plant_Master!C:C)</f>
        <v>Indoor</v>
      </c>
      <c r="J477" s="13" t="s">
        <v>73</v>
      </c>
    </row>
    <row r="478" spans="1:10" ht="13.2" x14ac:dyDescent="0.25">
      <c r="A478" s="10">
        <v>3171</v>
      </c>
      <c r="B478" s="10">
        <v>1065</v>
      </c>
      <c r="C478" s="10" t="s">
        <v>25</v>
      </c>
      <c r="D478" s="10">
        <v>3</v>
      </c>
      <c r="E478" s="10">
        <v>174</v>
      </c>
      <c r="F478" s="9">
        <f t="shared" si="7"/>
        <v>522</v>
      </c>
      <c r="G478" s="9" t="str">
        <f>_xlfn.XLOOKUP(B478,Nursery_Inventory!B:B,Nursery_Inventory!E:E)</f>
        <v>Bangalore</v>
      </c>
      <c r="H478" s="9" t="str">
        <f>_xlfn.XLOOKUP(B478,Plant_Master!A:A,Plant_Master!B:B)</f>
        <v>Aloe</v>
      </c>
      <c r="I478" s="9" t="str">
        <f>_xlfn.XLOOKUP(B478,Plant_Master!A:A,Plant_Master!C:C)</f>
        <v>Succulent</v>
      </c>
      <c r="J478" s="9">
        <f>_xlfn.XLOOKUP(B478,Nursery_Inventory!B:B,Nursery_Inventory!C:C)</f>
        <v>131</v>
      </c>
    </row>
    <row r="479" spans="1:10" ht="13.2" x14ac:dyDescent="0.25">
      <c r="A479" s="10">
        <v>3224</v>
      </c>
      <c r="B479" s="10">
        <v>1298</v>
      </c>
      <c r="C479" s="10" t="s">
        <v>14</v>
      </c>
      <c r="D479" s="10">
        <v>1</v>
      </c>
      <c r="E479" s="10">
        <v>493</v>
      </c>
      <c r="F479" s="9">
        <f t="shared" si="7"/>
        <v>493</v>
      </c>
      <c r="G479" s="13" t="s">
        <v>79</v>
      </c>
      <c r="H479" s="9" t="str">
        <f>_xlfn.XLOOKUP(B479,Plant_Master!A:A,Plant_Master!B:B)</f>
        <v>Palm</v>
      </c>
      <c r="I479" s="9" t="str">
        <f>_xlfn.XLOOKUP(B479,Plant_Master!A:A,Plant_Master!C:C)</f>
        <v>Medicinal</v>
      </c>
      <c r="J479" s="13" t="s">
        <v>73</v>
      </c>
    </row>
    <row r="480" spans="1:10" ht="13.2" x14ac:dyDescent="0.25">
      <c r="A480" s="10">
        <v>3047</v>
      </c>
      <c r="B480" s="10">
        <v>1015</v>
      </c>
      <c r="C480" s="10" t="s">
        <v>25</v>
      </c>
      <c r="D480" s="10">
        <v>1</v>
      </c>
      <c r="E480" s="10">
        <v>482</v>
      </c>
      <c r="F480" s="9">
        <f t="shared" si="7"/>
        <v>482</v>
      </c>
      <c r="G480" s="9" t="str">
        <f>_xlfn.XLOOKUP(B480,Nursery_Inventory!B:B,Nursery_Inventory!E:E)</f>
        <v>Chennai</v>
      </c>
      <c r="H480" s="9" t="str">
        <f>_xlfn.XLOOKUP(B480,Plant_Master!A:A,Plant_Master!B:B)</f>
        <v>Cactus</v>
      </c>
      <c r="I480" s="9" t="str">
        <f>_xlfn.XLOOKUP(B480,Plant_Master!A:A,Plant_Master!C:C)</f>
        <v>Medicinal</v>
      </c>
      <c r="J480" s="9">
        <f>_xlfn.XLOOKUP(B480,Nursery_Inventory!B:B,Nursery_Inventory!C:C)</f>
        <v>215</v>
      </c>
    </row>
    <row r="481" spans="1:10" ht="13.2" x14ac:dyDescent="0.25">
      <c r="A481" s="10">
        <v>3273</v>
      </c>
      <c r="B481" s="10">
        <v>1068</v>
      </c>
      <c r="C481" s="10" t="s">
        <v>14</v>
      </c>
      <c r="D481" s="10">
        <v>49</v>
      </c>
      <c r="E481" s="10">
        <v>367</v>
      </c>
      <c r="F481" s="9">
        <f t="shared" si="7"/>
        <v>17983</v>
      </c>
      <c r="G481" s="9" t="str">
        <f>_xlfn.XLOOKUP(B481,Nursery_Inventory!B:B,Nursery_Inventory!E:E)</f>
        <v>Pune</v>
      </c>
      <c r="H481" s="9" t="str">
        <f>_xlfn.XLOOKUP(B481,Plant_Master!A:A,Plant_Master!B:B)</f>
        <v>Tulip</v>
      </c>
      <c r="I481" s="9" t="str">
        <f>_xlfn.XLOOKUP(B481,Plant_Master!A:A,Plant_Master!C:C)</f>
        <v>Succulent</v>
      </c>
      <c r="J481" s="9">
        <f>_xlfn.XLOOKUP(B481,Nursery_Inventory!B:B,Nursery_Inventory!C:C)</f>
        <v>42</v>
      </c>
    </row>
    <row r="482" spans="1:10" ht="13.2" x14ac:dyDescent="0.25">
      <c r="A482" s="10">
        <v>3320</v>
      </c>
      <c r="B482" s="10">
        <v>1239</v>
      </c>
      <c r="C482" s="10" t="s">
        <v>12</v>
      </c>
      <c r="D482" s="10">
        <v>21</v>
      </c>
      <c r="E482" s="10">
        <v>332</v>
      </c>
      <c r="F482" s="9">
        <f t="shared" si="7"/>
        <v>6972</v>
      </c>
      <c r="G482" s="9" t="str">
        <f>_xlfn.XLOOKUP(B482,Nursery_Inventory!B:B,Nursery_Inventory!E:E)</f>
        <v>Delhi</v>
      </c>
      <c r="H482" s="9" t="str">
        <f>_xlfn.XLOOKUP(B482,Plant_Master!A:A,Plant_Master!B:B)</f>
        <v>Lily</v>
      </c>
      <c r="I482" s="9" t="str">
        <f>_xlfn.XLOOKUP(B482,Plant_Master!A:A,Plant_Master!C:C)</f>
        <v>Flower</v>
      </c>
      <c r="J482" s="9">
        <f>_xlfn.XLOOKUP(B482,Nursery_Inventory!B:B,Nursery_Inventory!C:C)</f>
        <v>26</v>
      </c>
    </row>
    <row r="483" spans="1:10" ht="13.2" x14ac:dyDescent="0.25">
      <c r="A483" s="10">
        <v>3248</v>
      </c>
      <c r="B483" s="10">
        <v>1106</v>
      </c>
      <c r="C483" s="10" t="s">
        <v>25</v>
      </c>
      <c r="D483" s="10">
        <v>1</v>
      </c>
      <c r="E483" s="10">
        <v>396</v>
      </c>
      <c r="F483" s="9">
        <f t="shared" si="7"/>
        <v>396</v>
      </c>
      <c r="G483" s="9" t="str">
        <f>_xlfn.XLOOKUP(B483,Nursery_Inventory!B:B,Nursery_Inventory!E:E)</f>
        <v>Bangalore</v>
      </c>
      <c r="H483" s="9" t="str">
        <f>_xlfn.XLOOKUP(B483,Plant_Master!A:A,Plant_Master!B:B)</f>
        <v>Aloe</v>
      </c>
      <c r="I483" s="9" t="str">
        <f>_xlfn.XLOOKUP(B483,Plant_Master!A:A,Plant_Master!C:C)</f>
        <v>Medicinal</v>
      </c>
      <c r="J483" s="9">
        <f>_xlfn.XLOOKUP(B483,Nursery_Inventory!B:B,Nursery_Inventory!C:C)</f>
        <v>157</v>
      </c>
    </row>
    <row r="484" spans="1:10" ht="13.2" x14ac:dyDescent="0.25">
      <c r="A484" s="10">
        <v>3397</v>
      </c>
      <c r="B484" s="10">
        <v>1113</v>
      </c>
      <c r="C484" s="10" t="s">
        <v>12</v>
      </c>
      <c r="D484" s="10">
        <v>1</v>
      </c>
      <c r="E484" s="10">
        <v>392</v>
      </c>
      <c r="F484" s="9">
        <f t="shared" si="7"/>
        <v>392</v>
      </c>
      <c r="G484" s="9" t="str">
        <f>_xlfn.XLOOKUP(B484,Nursery_Inventory!B:B,Nursery_Inventory!E:E)</f>
        <v>Chennai</v>
      </c>
      <c r="H484" s="9" t="str">
        <f>_xlfn.XLOOKUP(B484,Plant_Master!A:A,Plant_Master!B:B)</f>
        <v>Bamboo</v>
      </c>
      <c r="I484" s="9" t="str">
        <f>_xlfn.XLOOKUP(B484,Plant_Master!A:A,Plant_Master!C:C)</f>
        <v>Medicinal</v>
      </c>
      <c r="J484" s="9">
        <f>_xlfn.XLOOKUP(B484,Nursery_Inventory!B:B,Nursery_Inventory!C:C)</f>
        <v>312</v>
      </c>
    </row>
    <row r="485" spans="1:10" ht="13.2" x14ac:dyDescent="0.25">
      <c r="A485" s="10">
        <v>3398</v>
      </c>
      <c r="B485" s="10">
        <v>1116</v>
      </c>
      <c r="C485" s="10" t="s">
        <v>9</v>
      </c>
      <c r="D485" s="10">
        <v>3</v>
      </c>
      <c r="E485" s="10">
        <v>128</v>
      </c>
      <c r="F485" s="9">
        <f t="shared" si="7"/>
        <v>384</v>
      </c>
      <c r="G485" s="13" t="s">
        <v>79</v>
      </c>
      <c r="H485" s="9" t="str">
        <f>_xlfn.XLOOKUP(B485,Plant_Master!A:A,Plant_Master!B:B)</f>
        <v>Bamboo</v>
      </c>
      <c r="I485" s="9" t="str">
        <f>_xlfn.XLOOKUP(B485,Plant_Master!A:A,Plant_Master!C:C)</f>
        <v>Medicinal</v>
      </c>
      <c r="J485" s="13" t="s">
        <v>73</v>
      </c>
    </row>
    <row r="486" spans="1:10" ht="13.2" x14ac:dyDescent="0.25">
      <c r="A486" s="10">
        <v>3294</v>
      </c>
      <c r="B486" s="10">
        <v>1258</v>
      </c>
      <c r="C486" s="10" t="s">
        <v>9</v>
      </c>
      <c r="D486" s="10">
        <v>3</v>
      </c>
      <c r="E486" s="10">
        <v>88</v>
      </c>
      <c r="F486" s="9">
        <f t="shared" si="7"/>
        <v>264</v>
      </c>
      <c r="G486" s="13" t="s">
        <v>79</v>
      </c>
      <c r="H486" s="9" t="str">
        <f>_xlfn.XLOOKUP(B486,Plant_Master!A:A,Plant_Master!B:B)</f>
        <v>Orchid</v>
      </c>
      <c r="I486" s="9" t="str">
        <f>_xlfn.XLOOKUP(B486,Plant_Master!A:A,Plant_Master!C:C)</f>
        <v>Outdoor</v>
      </c>
      <c r="J486" s="13" t="s">
        <v>73</v>
      </c>
    </row>
    <row r="487" spans="1:10" ht="13.2" x14ac:dyDescent="0.25">
      <c r="A487" s="10">
        <v>3183</v>
      </c>
      <c r="B487" s="10">
        <v>1303</v>
      </c>
      <c r="C487" s="10" t="s">
        <v>12</v>
      </c>
      <c r="D487" s="10">
        <v>10</v>
      </c>
      <c r="E487" s="10">
        <v>91</v>
      </c>
      <c r="F487" s="9">
        <f t="shared" si="7"/>
        <v>910</v>
      </c>
      <c r="G487" s="9" t="str">
        <f>_xlfn.XLOOKUP(B487,Nursery_Inventory!B:B,Nursery_Inventory!E:E)</f>
        <v>Pune</v>
      </c>
      <c r="H487" s="9" t="str">
        <f>_xlfn.XLOOKUP(B487,Plant_Master!A:A,Plant_Master!B:B)</f>
        <v>Orchid</v>
      </c>
      <c r="I487" s="9" t="str">
        <f>_xlfn.XLOOKUP(B487,Plant_Master!A:A,Plant_Master!C:C)</f>
        <v>Indoor</v>
      </c>
      <c r="J487" s="9">
        <f>_xlfn.XLOOKUP(B487,Nursery_Inventory!B:B,Nursery_Inventory!C:C)</f>
        <v>29</v>
      </c>
    </row>
    <row r="488" spans="1:10" ht="13.2" x14ac:dyDescent="0.25">
      <c r="A488" s="10">
        <v>3204</v>
      </c>
      <c r="B488" s="10">
        <v>1207</v>
      </c>
      <c r="C488" s="10" t="s">
        <v>12</v>
      </c>
      <c r="D488" s="10">
        <v>2</v>
      </c>
      <c r="E488" s="10">
        <v>150</v>
      </c>
      <c r="F488" s="9">
        <f t="shared" si="7"/>
        <v>300</v>
      </c>
      <c r="G488" s="13" t="s">
        <v>79</v>
      </c>
      <c r="H488" s="9" t="str">
        <f>_xlfn.XLOOKUP(B488,Plant_Master!A:A,Plant_Master!B:B)</f>
        <v>Cactus</v>
      </c>
      <c r="I488" s="9" t="str">
        <f>_xlfn.XLOOKUP(B488,Plant_Master!A:A,Plant_Master!C:C)</f>
        <v>Indoor</v>
      </c>
      <c r="J488" s="13" t="s">
        <v>73</v>
      </c>
    </row>
    <row r="489" spans="1:10" ht="13.2" x14ac:dyDescent="0.25">
      <c r="A489" s="10">
        <v>3075</v>
      </c>
      <c r="B489" s="10">
        <v>1428</v>
      </c>
      <c r="C489" s="10" t="s">
        <v>7</v>
      </c>
      <c r="D489" s="10">
        <v>2</v>
      </c>
      <c r="E489" s="10">
        <v>369</v>
      </c>
      <c r="F489" s="9">
        <f t="shared" si="7"/>
        <v>738</v>
      </c>
      <c r="G489" s="13" t="s">
        <v>79</v>
      </c>
      <c r="H489" s="9" t="str">
        <f>_xlfn.XLOOKUP(B489,Plant_Master!A:A,Plant_Master!B:B)</f>
        <v>Palm</v>
      </c>
      <c r="I489" s="9" t="str">
        <f>_xlfn.XLOOKUP(B489,Plant_Master!A:A,Plant_Master!C:C)</f>
        <v>Outdoor</v>
      </c>
      <c r="J489" s="13" t="s">
        <v>73</v>
      </c>
    </row>
    <row r="490" spans="1:10" ht="13.2" x14ac:dyDescent="0.25">
      <c r="A490" s="10">
        <v>3411</v>
      </c>
      <c r="B490" s="10">
        <v>1210</v>
      </c>
      <c r="C490" s="10" t="s">
        <v>14</v>
      </c>
      <c r="D490" s="10">
        <v>1</v>
      </c>
      <c r="E490" s="10">
        <v>278</v>
      </c>
      <c r="F490" s="9">
        <f t="shared" si="7"/>
        <v>278</v>
      </c>
      <c r="G490" s="13" t="s">
        <v>79</v>
      </c>
      <c r="H490" s="9" t="str">
        <f>_xlfn.XLOOKUP(B490,Plant_Master!A:A,Plant_Master!B:B)</f>
        <v>Bamboo</v>
      </c>
      <c r="I490" s="9" t="str">
        <f>_xlfn.XLOOKUP(B490,Plant_Master!A:A,Plant_Master!C:C)</f>
        <v>Succulent</v>
      </c>
      <c r="J490" s="13" t="s">
        <v>73</v>
      </c>
    </row>
    <row r="491" spans="1:10" ht="13.2" x14ac:dyDescent="0.25">
      <c r="A491" s="10">
        <v>3230</v>
      </c>
      <c r="B491" s="10">
        <v>1456</v>
      </c>
      <c r="C491" s="10" t="s">
        <v>9</v>
      </c>
      <c r="D491" s="10">
        <v>3</v>
      </c>
      <c r="E491" s="10">
        <v>90</v>
      </c>
      <c r="F491" s="9">
        <f t="shared" si="7"/>
        <v>270</v>
      </c>
      <c r="G491" s="13" t="s">
        <v>79</v>
      </c>
      <c r="H491" s="9" t="str">
        <f>_xlfn.XLOOKUP(B491,Plant_Master!A:A,Plant_Master!B:B)</f>
        <v>Bamboo</v>
      </c>
      <c r="I491" s="9" t="str">
        <f>_xlfn.XLOOKUP(B491,Plant_Master!A:A,Plant_Master!C:C)</f>
        <v>Medicinal</v>
      </c>
      <c r="J491" s="13" t="s">
        <v>73</v>
      </c>
    </row>
    <row r="492" spans="1:10" ht="13.2" x14ac:dyDescent="0.25">
      <c r="A492" s="10">
        <v>3328</v>
      </c>
      <c r="B492" s="10">
        <v>1239</v>
      </c>
      <c r="C492" s="10" t="s">
        <v>9</v>
      </c>
      <c r="D492" s="10">
        <v>50</v>
      </c>
      <c r="E492" s="10">
        <v>109</v>
      </c>
      <c r="F492" s="9">
        <f t="shared" si="7"/>
        <v>5450</v>
      </c>
      <c r="G492" s="9" t="str">
        <f>_xlfn.XLOOKUP(B492,Nursery_Inventory!B:B,Nursery_Inventory!E:E)</f>
        <v>Delhi</v>
      </c>
      <c r="H492" s="9" t="str">
        <f>_xlfn.XLOOKUP(B492,Plant_Master!A:A,Plant_Master!B:B)</f>
        <v>Lily</v>
      </c>
      <c r="I492" s="9" t="str">
        <f>_xlfn.XLOOKUP(B492,Plant_Master!A:A,Plant_Master!C:C)</f>
        <v>Flower</v>
      </c>
      <c r="J492" s="9">
        <f>_xlfn.XLOOKUP(B492,Nursery_Inventory!B:B,Nursery_Inventory!C:C)</f>
        <v>26</v>
      </c>
    </row>
    <row r="493" spans="1:10" ht="13.2" x14ac:dyDescent="0.25">
      <c r="A493" s="10">
        <v>3480</v>
      </c>
      <c r="B493" s="10">
        <v>1366</v>
      </c>
      <c r="C493" s="10" t="s">
        <v>7</v>
      </c>
      <c r="D493" s="10">
        <v>2</v>
      </c>
      <c r="E493" s="10">
        <v>356</v>
      </c>
      <c r="F493" s="9">
        <f t="shared" si="7"/>
        <v>712</v>
      </c>
      <c r="G493" s="9" t="str">
        <f>_xlfn.XLOOKUP(B493,Nursery_Inventory!B:B,Nursery_Inventory!E:E)</f>
        <v>Chennai</v>
      </c>
      <c r="H493" s="9" t="str">
        <f>_xlfn.XLOOKUP(B493,Plant_Master!A:A,Plant_Master!B:B)</f>
        <v>Orchid</v>
      </c>
      <c r="I493" s="9" t="str">
        <f>_xlfn.XLOOKUP(B493,Plant_Master!A:A,Plant_Master!C:C)</f>
        <v>Outdoor</v>
      </c>
      <c r="J493" s="9">
        <f>_xlfn.XLOOKUP(B493,Nursery_Inventory!B:B,Nursery_Inventory!C:C)</f>
        <v>380</v>
      </c>
    </row>
    <row r="494" spans="1:10" ht="13.2" x14ac:dyDescent="0.25">
      <c r="A494" s="10">
        <v>3322</v>
      </c>
      <c r="B494" s="10">
        <v>1204</v>
      </c>
      <c r="C494" s="10" t="s">
        <v>7</v>
      </c>
      <c r="D494" s="10">
        <v>5</v>
      </c>
      <c r="E494" s="10">
        <v>471</v>
      </c>
      <c r="F494" s="9">
        <f t="shared" si="7"/>
        <v>2355</v>
      </c>
      <c r="G494" s="9" t="str">
        <f>_xlfn.XLOOKUP(B494,Nursery_Inventory!B:B,Nursery_Inventory!E:E)</f>
        <v>Pune</v>
      </c>
      <c r="H494" s="9" t="str">
        <f>_xlfn.XLOOKUP(B494,Plant_Master!A:A,Plant_Master!B:B)</f>
        <v>Orchid</v>
      </c>
      <c r="I494" s="9" t="str">
        <f>_xlfn.XLOOKUP(B494,Plant_Master!A:A,Plant_Master!C:C)</f>
        <v>Flower</v>
      </c>
      <c r="J494" s="9">
        <f>_xlfn.XLOOKUP(B494,Nursery_Inventory!B:B,Nursery_Inventory!C:C)</f>
        <v>28</v>
      </c>
    </row>
    <row r="495" spans="1:10" ht="13.2" x14ac:dyDescent="0.25">
      <c r="A495" s="10">
        <v>3400</v>
      </c>
      <c r="B495" s="10">
        <v>1174</v>
      </c>
      <c r="C495" s="10" t="s">
        <v>7</v>
      </c>
      <c r="D495" s="10">
        <v>16</v>
      </c>
      <c r="E495" s="10">
        <v>345</v>
      </c>
      <c r="F495" s="9">
        <f t="shared" si="7"/>
        <v>5520</v>
      </c>
      <c r="G495" s="9" t="str">
        <f>_xlfn.XLOOKUP(B495,Nursery_Inventory!B:B,Nursery_Inventory!E:E)</f>
        <v>Delhi</v>
      </c>
      <c r="H495" s="9" t="str">
        <f>_xlfn.XLOOKUP(B495,Plant_Master!A:A,Plant_Master!B:B)</f>
        <v>Cactus</v>
      </c>
      <c r="I495" s="9" t="str">
        <f>_xlfn.XLOOKUP(B495,Plant_Master!A:A,Plant_Master!C:C)</f>
        <v>Flower</v>
      </c>
      <c r="J495" s="9">
        <f>_xlfn.XLOOKUP(B495,Nursery_Inventory!B:B,Nursery_Inventory!C:C)</f>
        <v>23</v>
      </c>
    </row>
    <row r="496" spans="1:10" ht="13.2" x14ac:dyDescent="0.25">
      <c r="A496" s="10">
        <v>3385</v>
      </c>
      <c r="B496" s="10">
        <v>1174</v>
      </c>
      <c r="C496" s="10" t="s">
        <v>25</v>
      </c>
      <c r="D496" s="10">
        <v>46</v>
      </c>
      <c r="E496" s="10">
        <v>114</v>
      </c>
      <c r="F496" s="9">
        <f t="shared" si="7"/>
        <v>5244</v>
      </c>
      <c r="G496" s="9" t="str">
        <f>_xlfn.XLOOKUP(B496,Nursery_Inventory!B:B,Nursery_Inventory!E:E)</f>
        <v>Delhi</v>
      </c>
      <c r="H496" s="9" t="str">
        <f>_xlfn.XLOOKUP(B496,Plant_Master!A:A,Plant_Master!B:B)</f>
        <v>Cactus</v>
      </c>
      <c r="I496" s="9" t="str">
        <f>_xlfn.XLOOKUP(B496,Plant_Master!A:A,Plant_Master!C:C)</f>
        <v>Flower</v>
      </c>
      <c r="J496" s="9">
        <f>_xlfn.XLOOKUP(B496,Nursery_Inventory!B:B,Nursery_Inventory!C:C)</f>
        <v>23</v>
      </c>
    </row>
    <row r="497" spans="1:10" ht="13.2" x14ac:dyDescent="0.25">
      <c r="A497" s="10">
        <v>3074</v>
      </c>
      <c r="B497" s="10">
        <v>1432</v>
      </c>
      <c r="C497" s="10" t="s">
        <v>14</v>
      </c>
      <c r="D497" s="10">
        <v>1</v>
      </c>
      <c r="E497" s="10">
        <v>236</v>
      </c>
      <c r="F497" s="9">
        <f t="shared" si="7"/>
        <v>236</v>
      </c>
      <c r="G497" s="13" t="s">
        <v>79</v>
      </c>
      <c r="H497" s="9" t="str">
        <f>_xlfn.XLOOKUP(B497,Plant_Master!A:A,Plant_Master!B:B)</f>
        <v>Lily</v>
      </c>
      <c r="I497" s="9" t="str">
        <f>_xlfn.XLOOKUP(B497,Plant_Master!A:A,Plant_Master!C:C)</f>
        <v>Outdoor</v>
      </c>
      <c r="J497" s="13" t="s">
        <v>73</v>
      </c>
    </row>
    <row r="498" spans="1:10" ht="13.2" x14ac:dyDescent="0.25">
      <c r="A498" s="10">
        <v>3010</v>
      </c>
      <c r="B498" s="10">
        <v>1118</v>
      </c>
      <c r="C498" s="10" t="s">
        <v>14</v>
      </c>
      <c r="D498" s="10">
        <v>1</v>
      </c>
      <c r="E498" s="10">
        <v>168</v>
      </c>
      <c r="F498" s="9">
        <f t="shared" si="7"/>
        <v>168</v>
      </c>
      <c r="G498" s="13" t="s">
        <v>79</v>
      </c>
      <c r="H498" s="9" t="str">
        <f>_xlfn.XLOOKUP(B498,Plant_Master!A:A,Plant_Master!B:B)</f>
        <v>Jasmine</v>
      </c>
      <c r="I498" s="9" t="str">
        <f>_xlfn.XLOOKUP(B498,Plant_Master!A:A,Plant_Master!C:C)</f>
        <v>Medicinal</v>
      </c>
      <c r="J498" s="13" t="s">
        <v>73</v>
      </c>
    </row>
    <row r="499" spans="1:10" ht="13.2" x14ac:dyDescent="0.25">
      <c r="A499" s="10">
        <v>3122</v>
      </c>
      <c r="B499" s="10">
        <v>1174</v>
      </c>
      <c r="C499" s="10" t="s">
        <v>25</v>
      </c>
      <c r="D499" s="10">
        <v>3</v>
      </c>
      <c r="E499" s="10">
        <v>89</v>
      </c>
      <c r="F499" s="9">
        <f t="shared" si="7"/>
        <v>267</v>
      </c>
      <c r="G499" s="9" t="str">
        <f>_xlfn.XLOOKUP(B499,Nursery_Inventory!B:B,Nursery_Inventory!E:E)</f>
        <v>Delhi</v>
      </c>
      <c r="H499" s="9" t="str">
        <f>_xlfn.XLOOKUP(B499,Plant_Master!A:A,Plant_Master!B:B)</f>
        <v>Cactus</v>
      </c>
      <c r="I499" s="9" t="str">
        <f>_xlfn.XLOOKUP(B499,Plant_Master!A:A,Plant_Master!C:C)</f>
        <v>Flower</v>
      </c>
      <c r="J499" s="9">
        <f>_xlfn.XLOOKUP(B499,Nursery_Inventory!B:B,Nursery_Inventory!C:C)</f>
        <v>23</v>
      </c>
    </row>
    <row r="500" spans="1:10" ht="13.2" x14ac:dyDescent="0.25">
      <c r="A500" s="10">
        <v>3095</v>
      </c>
      <c r="B500" s="10">
        <v>1245</v>
      </c>
      <c r="C500" s="10" t="s">
        <v>25</v>
      </c>
      <c r="D500" s="10">
        <v>1</v>
      </c>
      <c r="E500" s="10">
        <v>115</v>
      </c>
      <c r="F500" s="9">
        <f t="shared" si="7"/>
        <v>115</v>
      </c>
      <c r="G500" s="13" t="s">
        <v>79</v>
      </c>
      <c r="H500" s="9" t="str">
        <f>_xlfn.XLOOKUP(B500,Plant_Master!A:A,Plant_Master!B:B)</f>
        <v>Cactus</v>
      </c>
      <c r="I500" s="9" t="str">
        <f>_xlfn.XLOOKUP(B500,Plant_Master!A:A,Plant_Master!C:C)</f>
        <v>Succulent</v>
      </c>
      <c r="J500" s="13" t="s">
        <v>73</v>
      </c>
    </row>
    <row r="501" spans="1:10" ht="13.2" x14ac:dyDescent="0.25">
      <c r="A501" s="10">
        <v>3333</v>
      </c>
      <c r="B501" s="10">
        <v>1430</v>
      </c>
      <c r="C501" s="10" t="s">
        <v>7</v>
      </c>
      <c r="D501" s="10">
        <v>4</v>
      </c>
      <c r="E501" s="10">
        <v>191</v>
      </c>
      <c r="F501" s="9">
        <f t="shared" si="7"/>
        <v>764</v>
      </c>
      <c r="G501" s="9" t="str">
        <f>_xlfn.XLOOKUP(B501,Nursery_Inventory!B:B,Nursery_Inventory!E:E)</f>
        <v>Delhi</v>
      </c>
      <c r="H501" s="9" t="str">
        <f>_xlfn.XLOOKUP(B501,Plant_Master!A:A,Plant_Master!B:B)</f>
        <v>Bamboo</v>
      </c>
      <c r="I501" s="9" t="str">
        <f>_xlfn.XLOOKUP(B501,Plant_Master!A:A,Plant_Master!C:C)</f>
        <v>Medicinal</v>
      </c>
      <c r="J501" s="9">
        <f>_xlfn.XLOOKUP(B501,Nursery_Inventory!B:B,Nursery_Inventory!C:C)</f>
        <v>16</v>
      </c>
    </row>
    <row r="502" spans="1:10" ht="13.2" x14ac:dyDescent="0.25">
      <c r="G502" s="13"/>
    </row>
    <row r="503" spans="1:10" ht="13.2" x14ac:dyDescent="0.25"/>
    <row r="504" spans="1:10" ht="13.2" x14ac:dyDescent="0.25"/>
    <row r="505" spans="1:10" ht="13.2" x14ac:dyDescent="0.25"/>
    <row r="506" spans="1:10" ht="13.2" x14ac:dyDescent="0.25"/>
    <row r="507" spans="1:10" ht="13.2" x14ac:dyDescent="0.25"/>
    <row r="508" spans="1:10" ht="13.2" x14ac:dyDescent="0.25"/>
    <row r="509" spans="1:10" ht="13.2" x14ac:dyDescent="0.25"/>
    <row r="510" spans="1:10" ht="13.2" x14ac:dyDescent="0.25"/>
    <row r="511" spans="1:10" ht="13.2" x14ac:dyDescent="0.25"/>
    <row r="512" spans="1:10"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autoFilter ref="A1:J501" xr:uid="{00000000-0001-0000-0200-000000000000}"/>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3CF4-DC1E-42FA-8D46-38888F5F2A6C}">
  <dimension ref="A1"/>
  <sheetViews>
    <sheetView showGridLines="0" tabSelected="1" zoomScale="85" zoomScaleNormal="85" workbookViewId="0">
      <selection activeCell="A6" sqref="A6"/>
    </sheetView>
  </sheetViews>
  <sheetFormatPr defaultRowHeight="13.2" x14ac:dyDescent="0.25"/>
  <cols>
    <col min="1" max="16384" width="8.8867187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Nursery_Inventory</vt:lpstr>
      <vt:lpstr>Plant_Master</vt:lpstr>
      <vt:lpstr>NURSERY'S REVENUE</vt:lpstr>
      <vt:lpstr>PLANTS REVENUE</vt:lpstr>
      <vt:lpstr>QUANTITY OF PLANTS</vt:lpstr>
      <vt:lpstr>Sheet2</vt:lpstr>
      <vt:lpstr>LOCATION WISE PLANTS</vt:lpstr>
      <vt:lpstr>UNITS SOLD BY NURSERY</vt:lpstr>
      <vt:lpstr>NURSERY WISE PLANTS</vt:lpstr>
      <vt:lpstr>CATAGORY WISE PLANTS</vt:lpstr>
      <vt:lpstr>CATAGORY WISE REVENUE</vt:lpstr>
      <vt:lpstr>KPI</vt:lpstr>
      <vt:lpstr>REVENUE BY NURSERY &amp; PLANTS</vt:lpstr>
      <vt:lpstr>INSIGHTS</vt:lpstr>
      <vt:lpstr>CATAGORY WISE SALE</vt:lpstr>
      <vt:lpstr>Plant_Sales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balkrishna tripathi</cp:lastModifiedBy>
  <dcterms:modified xsi:type="dcterms:W3CDTF">2026-09-21T03:34:10Z</dcterms:modified>
</cp:coreProperties>
</file>